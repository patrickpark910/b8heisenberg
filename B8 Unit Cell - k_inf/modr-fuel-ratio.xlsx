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MCNP\haigerloch-modr-fuel\"/>
    </mc:Choice>
  </mc:AlternateContent>
  <xr:revisionPtr revIDLastSave="0" documentId="13_ncr:1_{479710F9-89E7-4635-8E7A-9D5340A6300D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5" i="1"/>
  <c r="F4" i="1"/>
  <c r="F3" i="1"/>
  <c r="P28" i="1"/>
  <c r="R13" i="1"/>
  <c r="S4" i="1"/>
  <c r="T4" i="1"/>
  <c r="U4" i="1"/>
  <c r="V4" i="1"/>
  <c r="S5" i="1"/>
  <c r="T5" i="1"/>
  <c r="U5" i="1"/>
  <c r="V5" i="1"/>
  <c r="S6" i="1"/>
  <c r="T6" i="1"/>
  <c r="U6" i="1"/>
  <c r="V6" i="1"/>
  <c r="S7" i="1"/>
  <c r="T7" i="1"/>
  <c r="U7" i="1"/>
  <c r="V7" i="1"/>
  <c r="S8" i="1"/>
  <c r="T8" i="1"/>
  <c r="U8" i="1"/>
  <c r="V8" i="1"/>
  <c r="S9" i="1"/>
  <c r="T9" i="1"/>
  <c r="U9" i="1"/>
  <c r="V9" i="1"/>
  <c r="S10" i="1"/>
  <c r="T10" i="1"/>
  <c r="U10" i="1"/>
  <c r="V10" i="1"/>
  <c r="S11" i="1"/>
  <c r="T11" i="1"/>
  <c r="U11" i="1"/>
  <c r="V11" i="1"/>
  <c r="S12" i="1"/>
  <c r="T12" i="1"/>
  <c r="U12" i="1"/>
  <c r="V12" i="1"/>
  <c r="S13" i="1"/>
  <c r="T13" i="1"/>
  <c r="U13" i="1"/>
  <c r="V13" i="1"/>
  <c r="S14" i="1"/>
  <c r="T14" i="1"/>
  <c r="U14" i="1"/>
  <c r="V14" i="1"/>
  <c r="S15" i="1"/>
  <c r="T15" i="1"/>
  <c r="U15" i="1"/>
  <c r="V15" i="1"/>
  <c r="S16" i="1"/>
  <c r="T16" i="1"/>
  <c r="U16" i="1"/>
  <c r="V16" i="1"/>
  <c r="S17" i="1"/>
  <c r="T17" i="1"/>
  <c r="U17" i="1"/>
  <c r="V17" i="1"/>
  <c r="S18" i="1"/>
  <c r="T18" i="1"/>
  <c r="U18" i="1"/>
  <c r="V18" i="1"/>
  <c r="S19" i="1"/>
  <c r="T19" i="1"/>
  <c r="U19" i="1"/>
  <c r="V19" i="1"/>
  <c r="S20" i="1"/>
  <c r="T20" i="1"/>
  <c r="U20" i="1"/>
  <c r="V20" i="1"/>
  <c r="S21" i="1"/>
  <c r="T21" i="1"/>
  <c r="U21" i="1"/>
  <c r="V21" i="1"/>
  <c r="S22" i="1"/>
  <c r="T22" i="1"/>
  <c r="U22" i="1"/>
  <c r="V22" i="1"/>
  <c r="T3" i="1"/>
  <c r="U3" i="1"/>
  <c r="C11" i="1"/>
  <c r="E11" i="1"/>
  <c r="B11" i="1"/>
  <c r="B17" i="1"/>
  <c r="C17" i="1"/>
  <c r="E17" i="1" s="1"/>
  <c r="B18" i="1"/>
  <c r="C18" i="1"/>
  <c r="E18" i="1" s="1"/>
  <c r="B19" i="1"/>
  <c r="C19" i="1"/>
  <c r="E19" i="1"/>
  <c r="B20" i="1"/>
  <c r="C20" i="1"/>
  <c r="E20" i="1"/>
  <c r="B21" i="1"/>
  <c r="C21" i="1"/>
  <c r="E21" i="1" s="1"/>
  <c r="B22" i="1"/>
  <c r="C22" i="1"/>
  <c r="E22" i="1" s="1"/>
  <c r="B14" i="1"/>
  <c r="C14" i="1"/>
  <c r="E14" i="1" s="1"/>
  <c r="B15" i="1"/>
  <c r="C15" i="1"/>
  <c r="E15" i="1"/>
  <c r="B16" i="1"/>
  <c r="C16" i="1"/>
  <c r="E16" i="1" s="1"/>
  <c r="V3" i="1"/>
  <c r="S3" i="1"/>
  <c r="C10" i="1"/>
  <c r="E10" i="1" s="1"/>
  <c r="C12" i="1"/>
  <c r="E12" i="1" s="1"/>
  <c r="C13" i="1"/>
  <c r="E13" i="1" s="1"/>
  <c r="B13" i="1"/>
  <c r="B12" i="1"/>
  <c r="B10" i="1"/>
  <c r="B4" i="1"/>
  <c r="B5" i="1"/>
  <c r="B6" i="1"/>
  <c r="B7" i="1"/>
  <c r="B8" i="1"/>
  <c r="B9" i="1"/>
  <c r="B3" i="1"/>
  <c r="C4" i="1"/>
  <c r="E4" i="1" s="1"/>
  <c r="C5" i="1"/>
  <c r="E5" i="1" s="1"/>
  <c r="C6" i="1"/>
  <c r="E6" i="1" s="1"/>
  <c r="C7" i="1"/>
  <c r="E7" i="1" s="1"/>
  <c r="C8" i="1"/>
  <c r="E8" i="1" s="1"/>
  <c r="C9" i="1"/>
  <c r="E9" i="1" s="1"/>
  <c r="C3" i="1"/>
  <c r="E3" i="1" s="1"/>
  <c r="R11" i="1" l="1"/>
  <c r="Q11" i="1" s="1"/>
  <c r="R4" i="1"/>
  <c r="Q4" i="1" s="1"/>
  <c r="R8" i="1"/>
  <c r="Q8" i="1" s="1"/>
  <c r="R21" i="1"/>
  <c r="Q21" i="1" s="1"/>
  <c r="R12" i="1"/>
  <c r="Q12" i="1" s="1"/>
  <c r="R16" i="1"/>
  <c r="Q16" i="1" s="1"/>
  <c r="R20" i="1"/>
  <c r="Q20" i="1" s="1"/>
  <c r="R10" i="1"/>
  <c r="Q10" i="1" s="1"/>
  <c r="R18" i="1"/>
  <c r="Q18" i="1" s="1"/>
  <c r="R17" i="1"/>
  <c r="Q17" i="1" s="1"/>
  <c r="R7" i="1"/>
  <c r="Q7" i="1" s="1"/>
  <c r="R15" i="1"/>
  <c r="Q15" i="1" s="1"/>
  <c r="R6" i="1"/>
  <c r="Q6" i="1" s="1"/>
  <c r="R22" i="1"/>
  <c r="Q22" i="1" s="1"/>
  <c r="R14" i="1"/>
  <c r="Q14" i="1" s="1"/>
  <c r="R19" i="1"/>
  <c r="Q19" i="1" s="1"/>
  <c r="Q13" i="1"/>
  <c r="R9" i="1"/>
  <c r="Q9" i="1" s="1"/>
  <c r="R5" i="1"/>
  <c r="Q5" i="1" s="1"/>
  <c r="R3" i="1"/>
  <c r="Q3" i="1" s="1"/>
</calcChain>
</file>

<file path=xl/sharedStrings.xml><?xml version="1.0" encoding="utf-8"?>
<sst xmlns="http://schemas.openxmlformats.org/spreadsheetml/2006/main" count="31" uniqueCount="29">
  <si>
    <t>k_inf</t>
  </si>
  <si>
    <t>e</t>
  </si>
  <si>
    <t>p</t>
  </si>
  <si>
    <t xml:space="preserve">f </t>
  </si>
  <si>
    <t>n</t>
  </si>
  <si>
    <t>modr V (cc)</t>
  </si>
  <si>
    <t>fuel V (cc)</t>
  </si>
  <si>
    <t>error</t>
  </si>
  <si>
    <t>INDEP. VAR</t>
  </si>
  <si>
    <t>KCODE OUTPUT</t>
  </si>
  <si>
    <t>% th fis</t>
  </si>
  <si>
    <t>% int fis</t>
  </si>
  <si>
    <t>% fast fis</t>
  </si>
  <si>
    <t>M:F ratio</t>
  </si>
  <si>
    <t>TALLY OUTPUT</t>
  </si>
  <si>
    <t>total V (cc)</t>
  </si>
  <si>
    <t>radius (cm)</t>
  </si>
  <si>
    <t>th abs modr</t>
  </si>
  <si>
    <t>th abs fuel</t>
  </si>
  <si>
    <t>tot abs fuel</t>
  </si>
  <si>
    <t>tot abs modr</t>
  </si>
  <si>
    <t>th n fis</t>
  </si>
  <si>
    <t>tot n fis</t>
  </si>
  <si>
    <t>Fermi</t>
  </si>
  <si>
    <t xml:space="preserve"> </t>
  </si>
  <si>
    <t>sphere</t>
  </si>
  <si>
    <t>cylinder</t>
  </si>
  <si>
    <t>difference</t>
  </si>
  <si>
    <t>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</si>
</sst>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"/>
    <numFmt numFmtId="166" formatCode="0.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164" fontId="0" fillId="0" borderId="0" xfId="0" applyNumberFormat="1"/>
    <xf numFmtId="0" fontId="0" fillId="5" borderId="0" xfId="0" applyFill="1"/>
    <xf numFmtId="0" fontId="1" fillId="5" borderId="0" xfId="0" applyFont="1" applyFill="1"/>
    <xf numFmtId="0" fontId="0" fillId="6" borderId="0" xfId="0" applyFill="1"/>
    <xf numFmtId="0" fontId="0" fillId="7" borderId="0" xfId="0" applyFill="1"/>
    <xf numFmtId="11" fontId="0" fillId="8" borderId="0" xfId="0" applyNumberFormat="1" applyFill="1"/>
    <xf numFmtId="0" fontId="0" fillId="8" borderId="0" xfId="0" applyFill="1"/>
    <xf numFmtId="165" fontId="0" fillId="7" borderId="0" xfId="0" applyNumberFormat="1" applyFill="1"/>
    <xf numFmtId="166" fontId="0" fillId="0" borderId="0" xfId="0" applyNumberFormat="1"/>
    <xf numFmtId="11" fontId="0" fillId="2" borderId="0" xfId="0" applyNumberFormat="1" applyFill="1"/>
    <xf numFmtId="0" fontId="1" fillId="9" borderId="0" xfId="0" applyFont="1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k_inf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Sheet1!$E$3:$E$18</c:f>
              <c:numCache>
                <c:formatCode>General</c:formatCode>
                <c:ptCount val="16"/>
                <c:pt idx="0">
                  <c:v>13.302</c:v>
                </c:pt>
                <c:pt idx="1">
                  <c:v>13.4</c:v>
                </c:pt>
                <c:pt idx="2">
                  <c:v>14.2</c:v>
                </c:pt>
                <c:pt idx="3" formatCode="0.0">
                  <c:v>15</c:v>
                </c:pt>
                <c:pt idx="4">
                  <c:v>15.8</c:v>
                </c:pt>
                <c:pt idx="5">
                  <c:v>16.600000000000001</c:v>
                </c:pt>
                <c:pt idx="6">
                  <c:v>17.399999999999999</c:v>
                </c:pt>
                <c:pt idx="7">
                  <c:v>18.2</c:v>
                </c:pt>
                <c:pt idx="8" formatCode="0.0">
                  <c:v>18.600000000000001</c:v>
                </c:pt>
                <c:pt idx="9">
                  <c:v>19</c:v>
                </c:pt>
                <c:pt idx="10">
                  <c:v>19.8</c:v>
                </c:pt>
                <c:pt idx="11">
                  <c:v>20.6</c:v>
                </c:pt>
                <c:pt idx="12">
                  <c:v>21.4</c:v>
                </c:pt>
                <c:pt idx="13">
                  <c:v>22.2</c:v>
                </c:pt>
                <c:pt idx="14">
                  <c:v>23</c:v>
                </c:pt>
                <c:pt idx="15">
                  <c:v>23.8</c:v>
                </c:pt>
              </c:numCache>
            </c:numRef>
          </c:xVal>
          <c:yVal>
            <c:numRef>
              <c:f>Sheet1!$F$3:$F$18</c:f>
              <c:numCache>
                <c:formatCode>General</c:formatCode>
                <c:ptCount val="16"/>
                <c:pt idx="0">
                  <c:v>1.1159399999999999</c:v>
                </c:pt>
                <c:pt idx="1">
                  <c:v>1.11652</c:v>
                </c:pt>
                <c:pt idx="2">
                  <c:v>1.1198600000000001</c:v>
                </c:pt>
                <c:pt idx="3">
                  <c:v>1.1224700000000001</c:v>
                </c:pt>
                <c:pt idx="4">
                  <c:v>1.1242399999999999</c:v>
                </c:pt>
                <c:pt idx="5">
                  <c:v>1.1255500000000001</c:v>
                </c:pt>
                <c:pt idx="6">
                  <c:v>1.1266100000000001</c:v>
                </c:pt>
                <c:pt idx="7">
                  <c:v>1.1270199999999999</c:v>
                </c:pt>
                <c:pt idx="8">
                  <c:v>1.1270800000000001</c:v>
                </c:pt>
                <c:pt idx="9">
                  <c:v>1.1270100000000001</c:v>
                </c:pt>
                <c:pt idx="10">
                  <c:v>1.12669</c:v>
                </c:pt>
                <c:pt idx="11">
                  <c:v>1.12605</c:v>
                </c:pt>
                <c:pt idx="12">
                  <c:v>1.1253500000000001</c:v>
                </c:pt>
                <c:pt idx="13">
                  <c:v>1.1242799999999999</c:v>
                </c:pt>
                <c:pt idx="14">
                  <c:v>1.1229500000000001</c:v>
                </c:pt>
                <c:pt idx="15">
                  <c:v>1.1215600000000001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27-4814-91B9-DB0FA58AD830}"/>
            </c:ext>
          </c:extLst>
        </c:ser>
        <c:ser>
          <c:idx val="1"/>
          <c:order val="1"/>
          <c:tx>
            <c:v>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Sheet1!$E$3:$E$18</c:f>
              <c:numCache>
                <c:formatCode>General</c:formatCode>
                <c:ptCount val="16"/>
                <c:pt idx="0">
                  <c:v>13.302</c:v>
                </c:pt>
                <c:pt idx="1">
                  <c:v>13.4</c:v>
                </c:pt>
                <c:pt idx="2">
                  <c:v>14.2</c:v>
                </c:pt>
                <c:pt idx="3" formatCode="0.0">
                  <c:v>15</c:v>
                </c:pt>
                <c:pt idx="4">
                  <c:v>15.8</c:v>
                </c:pt>
                <c:pt idx="5">
                  <c:v>16.600000000000001</c:v>
                </c:pt>
                <c:pt idx="6">
                  <c:v>17.399999999999999</c:v>
                </c:pt>
                <c:pt idx="7">
                  <c:v>18.2</c:v>
                </c:pt>
                <c:pt idx="8" formatCode="0.0">
                  <c:v>18.600000000000001</c:v>
                </c:pt>
                <c:pt idx="9">
                  <c:v>19</c:v>
                </c:pt>
                <c:pt idx="10">
                  <c:v>19.8</c:v>
                </c:pt>
                <c:pt idx="11">
                  <c:v>20.6</c:v>
                </c:pt>
                <c:pt idx="12">
                  <c:v>21.4</c:v>
                </c:pt>
                <c:pt idx="13">
                  <c:v>22.2</c:v>
                </c:pt>
                <c:pt idx="14">
                  <c:v>23</c:v>
                </c:pt>
                <c:pt idx="15">
                  <c:v>23.8</c:v>
                </c:pt>
              </c:numCache>
            </c:numRef>
          </c:xVal>
          <c:yVal>
            <c:numRef>
              <c:f>Sheet1!$S$3:$S$18</c:f>
              <c:numCache>
                <c:formatCode>General</c:formatCode>
                <c:ptCount val="16"/>
                <c:pt idx="0">
                  <c:v>1.1581930515066925</c:v>
                </c:pt>
                <c:pt idx="1">
                  <c:v>1.1575597534505968</c:v>
                </c:pt>
                <c:pt idx="2">
                  <c:v>1.1524095577098816</c:v>
                </c:pt>
                <c:pt idx="3">
                  <c:v>1.1481097093902872</c:v>
                </c:pt>
                <c:pt idx="4">
                  <c:v>1.1440917526763725</c:v>
                </c:pt>
                <c:pt idx="5">
                  <c:v>1.1405380777614997</c:v>
                </c:pt>
                <c:pt idx="6">
                  <c:v>1.1374618321807226</c:v>
                </c:pt>
                <c:pt idx="7">
                  <c:v>1.1346537352136203</c:v>
                </c:pt>
                <c:pt idx="8">
                  <c:v>1.1333467399952786</c:v>
                </c:pt>
                <c:pt idx="9">
                  <c:v>1.1320986391077461</c:v>
                </c:pt>
                <c:pt idx="10">
                  <c:v>1.1297674656079979</c:v>
                </c:pt>
                <c:pt idx="11">
                  <c:v>1.1276346997434172</c:v>
                </c:pt>
                <c:pt idx="12">
                  <c:v>1.1257409059617922</c:v>
                </c:pt>
                <c:pt idx="13">
                  <c:v>1.1240215054564691</c:v>
                </c:pt>
                <c:pt idx="14">
                  <c:v>1.12244854876024</c:v>
                </c:pt>
                <c:pt idx="15">
                  <c:v>1.1208299097157923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27-4814-91B9-DB0FA58AD830}"/>
            </c:ext>
          </c:extLst>
        </c:ser>
        <c:ser>
          <c:idx val="2"/>
          <c:order val="2"/>
          <c:tx>
            <c:v>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Sheet1!$E$3:$E$18</c:f>
              <c:numCache>
                <c:formatCode>General</c:formatCode>
                <c:ptCount val="16"/>
                <c:pt idx="0">
                  <c:v>13.302</c:v>
                </c:pt>
                <c:pt idx="1">
                  <c:v>13.4</c:v>
                </c:pt>
                <c:pt idx="2">
                  <c:v>14.2</c:v>
                </c:pt>
                <c:pt idx="3" formatCode="0.0">
                  <c:v>15</c:v>
                </c:pt>
                <c:pt idx="4">
                  <c:v>15.8</c:v>
                </c:pt>
                <c:pt idx="5">
                  <c:v>16.600000000000001</c:v>
                </c:pt>
                <c:pt idx="6">
                  <c:v>17.399999999999999</c:v>
                </c:pt>
                <c:pt idx="7">
                  <c:v>18.2</c:v>
                </c:pt>
                <c:pt idx="8" formatCode="0.0">
                  <c:v>18.600000000000001</c:v>
                </c:pt>
                <c:pt idx="9">
                  <c:v>19</c:v>
                </c:pt>
                <c:pt idx="10">
                  <c:v>19.8</c:v>
                </c:pt>
                <c:pt idx="11">
                  <c:v>20.6</c:v>
                </c:pt>
                <c:pt idx="12">
                  <c:v>21.4</c:v>
                </c:pt>
                <c:pt idx="13">
                  <c:v>22.2</c:v>
                </c:pt>
                <c:pt idx="14">
                  <c:v>23</c:v>
                </c:pt>
                <c:pt idx="15">
                  <c:v>23.8</c:v>
                </c:pt>
              </c:numCache>
            </c:numRef>
          </c:xVal>
          <c:yVal>
            <c:numRef>
              <c:f>Sheet1!$T$3:$T$18</c:f>
              <c:numCache>
                <c:formatCode>General</c:formatCode>
                <c:ptCount val="16"/>
                <c:pt idx="0">
                  <c:v>0.78198483510291927</c:v>
                </c:pt>
                <c:pt idx="1">
                  <c:v>0.78295841879269423</c:v>
                </c:pt>
                <c:pt idx="2">
                  <c:v>0.7918030085305191</c:v>
                </c:pt>
                <c:pt idx="3">
                  <c:v>0.79946163345242582</c:v>
                </c:pt>
                <c:pt idx="4">
                  <c:v>0.80651785925349551</c:v>
                </c:pt>
                <c:pt idx="5">
                  <c:v>0.81307214228255642</c:v>
                </c:pt>
                <c:pt idx="6">
                  <c:v>0.81909951629306377</c:v>
                </c:pt>
                <c:pt idx="7">
                  <c:v>0.82437001871462179</c:v>
                </c:pt>
                <c:pt idx="8">
                  <c:v>0.82701448293247837</c:v>
                </c:pt>
                <c:pt idx="9">
                  <c:v>0.82942899006994175</c:v>
                </c:pt>
                <c:pt idx="10">
                  <c:v>0.83413933843188726</c:v>
                </c:pt>
                <c:pt idx="11">
                  <c:v>0.83841527573406549</c:v>
                </c:pt>
                <c:pt idx="12">
                  <c:v>0.84243256398698063</c:v>
                </c:pt>
                <c:pt idx="13">
                  <c:v>0.84623265304866757</c:v>
                </c:pt>
                <c:pt idx="14">
                  <c:v>0.84958106932110855</c:v>
                </c:pt>
                <c:pt idx="15">
                  <c:v>0.85298457806691452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727-4814-91B9-DB0FA58AD830}"/>
            </c:ext>
          </c:extLst>
        </c:ser>
        <c:ser>
          <c:idx val="3"/>
          <c:order val="3"/>
          <c:tx>
            <c:v>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Sheet1!$E$3:$E$18</c:f>
              <c:numCache>
                <c:formatCode>General</c:formatCode>
                <c:ptCount val="16"/>
                <c:pt idx="0">
                  <c:v>13.302</c:v>
                </c:pt>
                <c:pt idx="1">
                  <c:v>13.4</c:v>
                </c:pt>
                <c:pt idx="2">
                  <c:v>14.2</c:v>
                </c:pt>
                <c:pt idx="3" formatCode="0.0">
                  <c:v>15</c:v>
                </c:pt>
                <c:pt idx="4">
                  <c:v>15.8</c:v>
                </c:pt>
                <c:pt idx="5">
                  <c:v>16.600000000000001</c:v>
                </c:pt>
                <c:pt idx="6">
                  <c:v>17.399999999999999</c:v>
                </c:pt>
                <c:pt idx="7">
                  <c:v>18.2</c:v>
                </c:pt>
                <c:pt idx="8" formatCode="0.0">
                  <c:v>18.600000000000001</c:v>
                </c:pt>
                <c:pt idx="9">
                  <c:v>19</c:v>
                </c:pt>
                <c:pt idx="10">
                  <c:v>19.8</c:v>
                </c:pt>
                <c:pt idx="11">
                  <c:v>20.6</c:v>
                </c:pt>
                <c:pt idx="12">
                  <c:v>21.4</c:v>
                </c:pt>
                <c:pt idx="13">
                  <c:v>22.2</c:v>
                </c:pt>
                <c:pt idx="14">
                  <c:v>23</c:v>
                </c:pt>
                <c:pt idx="15">
                  <c:v>23.8</c:v>
                </c:pt>
              </c:numCache>
            </c:numRef>
          </c:xVal>
          <c:yVal>
            <c:numRef>
              <c:f>Sheet1!$U$3:$U$18</c:f>
              <c:numCache>
                <c:formatCode>General</c:formatCode>
                <c:ptCount val="16"/>
                <c:pt idx="0">
                  <c:v>0.94126980637887869</c:v>
                </c:pt>
                <c:pt idx="1">
                  <c:v>0.94082609721499411</c:v>
                </c:pt>
                <c:pt idx="2">
                  <c:v>0.93710560653006336</c:v>
                </c:pt>
                <c:pt idx="3">
                  <c:v>0.93343274063983261</c:v>
                </c:pt>
                <c:pt idx="4">
                  <c:v>0.92974826704577662</c:v>
                </c:pt>
                <c:pt idx="5">
                  <c:v>0.92607637261724385</c:v>
                </c:pt>
                <c:pt idx="6">
                  <c:v>0.92243475293902832</c:v>
                </c:pt>
                <c:pt idx="7">
                  <c:v>0.91880232466994127</c:v>
                </c:pt>
                <c:pt idx="8">
                  <c:v>0.91700556042938031</c:v>
                </c:pt>
                <c:pt idx="9">
                  <c:v>0.91517585446016714</c:v>
                </c:pt>
                <c:pt idx="10">
                  <c:v>0.91158008080127173</c:v>
                </c:pt>
                <c:pt idx="11">
                  <c:v>0.90797535618174863</c:v>
                </c:pt>
                <c:pt idx="12">
                  <c:v>0.90438016055141057</c:v>
                </c:pt>
                <c:pt idx="13">
                  <c:v>0.90083834585397993</c:v>
                </c:pt>
                <c:pt idx="14">
                  <c:v>0.89731577436708543</c:v>
                </c:pt>
                <c:pt idx="15">
                  <c:v>0.89383918394780415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727-4814-91B9-DB0FA58AD830}"/>
            </c:ext>
          </c:extLst>
        </c:ser>
        <c:ser>
          <c:idx val="4"/>
          <c:order val="4"/>
          <c:tx>
            <c:v>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Sheet1!$E$3:$E$22</c:f>
              <c:numCache>
                <c:formatCode>General</c:formatCode>
                <c:ptCount val="20"/>
                <c:pt idx="0">
                  <c:v>13.302</c:v>
                </c:pt>
                <c:pt idx="1">
                  <c:v>13.4</c:v>
                </c:pt>
                <c:pt idx="2">
                  <c:v>14.2</c:v>
                </c:pt>
                <c:pt idx="3" formatCode="0.0">
                  <c:v>15</c:v>
                </c:pt>
                <c:pt idx="4">
                  <c:v>15.8</c:v>
                </c:pt>
                <c:pt idx="5">
                  <c:v>16.600000000000001</c:v>
                </c:pt>
                <c:pt idx="6">
                  <c:v>17.399999999999999</c:v>
                </c:pt>
                <c:pt idx="7">
                  <c:v>18.2</c:v>
                </c:pt>
                <c:pt idx="8" formatCode="0.0">
                  <c:v>18.600000000000001</c:v>
                </c:pt>
                <c:pt idx="9">
                  <c:v>19</c:v>
                </c:pt>
                <c:pt idx="10">
                  <c:v>19.8</c:v>
                </c:pt>
                <c:pt idx="11">
                  <c:v>20.6</c:v>
                </c:pt>
                <c:pt idx="12">
                  <c:v>21.4</c:v>
                </c:pt>
                <c:pt idx="13">
                  <c:v>22.2</c:v>
                </c:pt>
                <c:pt idx="14">
                  <c:v>23</c:v>
                </c:pt>
                <c:pt idx="15">
                  <c:v>23.8</c:v>
                </c:pt>
                <c:pt idx="16">
                  <c:v>24.6</c:v>
                </c:pt>
                <c:pt idx="17">
                  <c:v>25.4</c:v>
                </c:pt>
                <c:pt idx="18">
                  <c:v>26.2</c:v>
                </c:pt>
                <c:pt idx="19">
                  <c:v>27</c:v>
                </c:pt>
              </c:numCache>
            </c:numRef>
          </c:xVal>
          <c:yVal>
            <c:numRef>
              <c:f>Sheet1!$V$3:$V$22</c:f>
              <c:numCache>
                <c:formatCode>General</c:formatCode>
                <c:ptCount val="20"/>
                <c:pt idx="0">
                  <c:v>1.3115457362061185</c:v>
                </c:pt>
                <c:pt idx="1">
                  <c:v>1.3115954761558815</c:v>
                </c:pt>
                <c:pt idx="2">
                  <c:v>1.3120028037508553</c:v>
                </c:pt>
                <c:pt idx="3">
                  <c:v>1.3123791328238574</c:v>
                </c:pt>
                <c:pt idx="4">
                  <c:v>1.3126973827237531</c:v>
                </c:pt>
                <c:pt idx="5">
                  <c:v>1.3130134303717771</c:v>
                </c:pt>
                <c:pt idx="6">
                  <c:v>1.3132919209651759</c:v>
                </c:pt>
                <c:pt idx="7">
                  <c:v>1.3135427735250691</c:v>
                </c:pt>
                <c:pt idx="8">
                  <c:v>1.3136557703604281</c:v>
                </c:pt>
                <c:pt idx="9">
                  <c:v>1.3137669244300325</c:v>
                </c:pt>
                <c:pt idx="10">
                  <c:v>1.3139657985119684</c:v>
                </c:pt>
                <c:pt idx="11">
                  <c:v>1.3141894652880162</c:v>
                </c:pt>
                <c:pt idx="12">
                  <c:v>1.3143605632054562</c:v>
                </c:pt>
                <c:pt idx="13">
                  <c:v>1.3145181433937869</c:v>
                </c:pt>
                <c:pt idx="14">
                  <c:v>1.3146778596243764</c:v>
                </c:pt>
                <c:pt idx="15">
                  <c:v>1.3148323734702436</c:v>
                </c:pt>
                <c:pt idx="16">
                  <c:v>1.3149774232267231</c:v>
                </c:pt>
                <c:pt idx="17">
                  <c:v>1.3150819645351259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727-4814-91B9-DB0FA58AD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850863"/>
        <c:axId val="642851823"/>
      </c:scatterChart>
      <c:valAx>
        <c:axId val="642850863"/>
        <c:scaling>
          <c:orientation val="minMax"/>
          <c:max val="3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851823"/>
        <c:crosses val="autoZero"/>
        <c:crossBetween val="midCat"/>
      </c:valAx>
      <c:valAx>
        <c:axId val="642851823"/>
        <c:scaling>
          <c:orientation val="minMax"/>
          <c:max val="1.2"/>
          <c:min val="0.75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850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2700" cap="rnd">
                <a:solidFill>
                  <a:srgbClr val="C00000"/>
                </a:solidFill>
                <a:prstDash val="solid"/>
              </a:ln>
              <a:effectLst/>
            </c:spPr>
            <c:trendlineType val="poly"/>
            <c:order val="2"/>
            <c:dispRSqr val="0"/>
            <c:dispEq val="0"/>
          </c:trendline>
          <c:errBars>
            <c:errDir val="y"/>
            <c:errBarType val="both"/>
            <c:errValType val="fixedVal"/>
            <c:noEndCap val="0"/>
            <c:val val="2.4000000000000009E-4"/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Sheet1!$E$3:$E$11</c:f>
              <c:numCache>
                <c:formatCode>General</c:formatCode>
                <c:ptCount val="9"/>
                <c:pt idx="0">
                  <c:v>13.302</c:v>
                </c:pt>
                <c:pt idx="1">
                  <c:v>13.4</c:v>
                </c:pt>
                <c:pt idx="2">
                  <c:v>14.2</c:v>
                </c:pt>
                <c:pt idx="3" formatCode="0.0">
                  <c:v>15</c:v>
                </c:pt>
                <c:pt idx="4">
                  <c:v>15.8</c:v>
                </c:pt>
                <c:pt idx="5">
                  <c:v>16.600000000000001</c:v>
                </c:pt>
                <c:pt idx="6">
                  <c:v>17.399999999999999</c:v>
                </c:pt>
                <c:pt idx="7">
                  <c:v>18.2</c:v>
                </c:pt>
                <c:pt idx="8" formatCode="0.0">
                  <c:v>18.600000000000001</c:v>
                </c:pt>
              </c:numCache>
            </c:numRef>
          </c:xVal>
          <c:yVal>
            <c:numRef>
              <c:f>Sheet1!$F$3:$F$11</c:f>
              <c:numCache>
                <c:formatCode>General</c:formatCode>
                <c:ptCount val="9"/>
                <c:pt idx="0">
                  <c:v>1.1159399999999999</c:v>
                </c:pt>
                <c:pt idx="1">
                  <c:v>1.11652</c:v>
                </c:pt>
                <c:pt idx="2">
                  <c:v>1.1198600000000001</c:v>
                </c:pt>
                <c:pt idx="3">
                  <c:v>1.1224700000000001</c:v>
                </c:pt>
                <c:pt idx="4">
                  <c:v>1.1242399999999999</c:v>
                </c:pt>
                <c:pt idx="5">
                  <c:v>1.1255500000000001</c:v>
                </c:pt>
                <c:pt idx="6">
                  <c:v>1.1266100000000001</c:v>
                </c:pt>
                <c:pt idx="7">
                  <c:v>1.1270199999999999</c:v>
                </c:pt>
                <c:pt idx="8">
                  <c:v>1.1270800000000001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07-418B-BA54-2430EFCF6EB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2700" cap="rnd">
                <a:solidFill>
                  <a:srgbClr val="C00000"/>
                </a:solidFill>
                <a:prstDash val="solid"/>
              </a:ln>
              <a:effectLst/>
            </c:spPr>
            <c:trendlineType val="poly"/>
            <c:order val="2"/>
            <c:dispRSqr val="0"/>
            <c:dispEq val="0"/>
          </c:trendline>
          <c:errBars>
            <c:errDir val="y"/>
            <c:errBarType val="both"/>
            <c:errValType val="fixedVal"/>
            <c:noEndCap val="0"/>
            <c:val val="2.4000000000000009E-4"/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Sheet1!$E$11:$E$20</c:f>
              <c:numCache>
                <c:formatCode>General</c:formatCode>
                <c:ptCount val="10"/>
                <c:pt idx="0" formatCode="0.0">
                  <c:v>18.600000000000001</c:v>
                </c:pt>
                <c:pt idx="1">
                  <c:v>19</c:v>
                </c:pt>
                <c:pt idx="2">
                  <c:v>19.8</c:v>
                </c:pt>
                <c:pt idx="3">
                  <c:v>20.6</c:v>
                </c:pt>
                <c:pt idx="4">
                  <c:v>21.4</c:v>
                </c:pt>
                <c:pt idx="5">
                  <c:v>22.2</c:v>
                </c:pt>
                <c:pt idx="6">
                  <c:v>23</c:v>
                </c:pt>
                <c:pt idx="7">
                  <c:v>23.8</c:v>
                </c:pt>
                <c:pt idx="8">
                  <c:v>24.6</c:v>
                </c:pt>
                <c:pt idx="9">
                  <c:v>25.4</c:v>
                </c:pt>
              </c:numCache>
            </c:numRef>
          </c:xVal>
          <c:yVal>
            <c:numRef>
              <c:f>Sheet1!$F$11:$F$20</c:f>
              <c:numCache>
                <c:formatCode>General</c:formatCode>
                <c:ptCount val="10"/>
                <c:pt idx="0">
                  <c:v>1.1270800000000001</c:v>
                </c:pt>
                <c:pt idx="1">
                  <c:v>1.1270100000000001</c:v>
                </c:pt>
                <c:pt idx="2">
                  <c:v>1.12669</c:v>
                </c:pt>
                <c:pt idx="3">
                  <c:v>1.12605</c:v>
                </c:pt>
                <c:pt idx="4">
                  <c:v>1.1253500000000001</c:v>
                </c:pt>
                <c:pt idx="5">
                  <c:v>1.1242799999999999</c:v>
                </c:pt>
                <c:pt idx="6">
                  <c:v>1.1229500000000001</c:v>
                </c:pt>
                <c:pt idx="7">
                  <c:v>1.1215600000000001</c:v>
                </c:pt>
                <c:pt idx="8">
                  <c:v>1.11991</c:v>
                </c:pt>
                <c:pt idx="9">
                  <c:v>1.1180099999999999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807-418B-BA54-2430EFCF6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0467407"/>
        <c:axId val="570465007"/>
      </c:scatterChart>
      <c:valAx>
        <c:axId val="570467407"/>
        <c:scaling>
          <c:orientation val="minMax"/>
          <c:max val="26"/>
          <c:min val="1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Moderator/Fuel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ratio [V</a:t>
                </a:r>
                <a:r>
                  <a:rPr lang="en-US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modr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/V</a:t>
                </a:r>
                <a:r>
                  <a:rPr lang="en-US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fuel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]</a:t>
                </a:r>
                <a:endParaRPr lang="en-US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0465007"/>
        <c:crosses val="autoZero"/>
        <c:crossBetween val="midCat"/>
        <c:majorUnit val="2"/>
      </c:valAx>
      <c:valAx>
        <c:axId val="570465007"/>
        <c:scaling>
          <c:orientation val="minMax"/>
          <c:max val="1.1300000000000001"/>
          <c:min val="1.112000000000000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Infinite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multiplication</a:t>
                </a:r>
                <a:r>
                  <a:rPr lang="en-US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[k</a:t>
                </a:r>
                <a:r>
                  <a:rPr lang="en-US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inf</a:t>
                </a:r>
                <a:r>
                  <a:rPr lang="en-US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046740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365760</xdr:colOff>
      <xdr:row>24</xdr:row>
      <xdr:rowOff>83820</xdr:rowOff>
    </xdr:from>
    <xdr:to>
      <xdr:col>12</xdr:col>
      <xdr:colOff>320040</xdr:colOff>
      <xdr:row>39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94567B-6E84-8501-D740-0C8DF29A71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304800</xdr:colOff>
      <xdr:row>23</xdr:row>
      <xdr:rowOff>160020</xdr:rowOff>
    </xdr:from>
    <xdr:to>
      <xdr:col>4</xdr:col>
      <xdr:colOff>632460</xdr:colOff>
      <xdr:row>38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194E94-7DC7-7493-547F-3AA1E2BCC9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"/>
  <sheetViews>
    <sheetView tabSelected="1" zoomScaleNormal="100" workbookViewId="0">
      <selection activeCell="J16" sqref="J16"/>
    </sheetView>
  </sheetViews>
  <sheetFormatPr defaultRowHeight="14.4" x14ac:dyDescent="0.3"/>
  <cols>
    <col min="1" max="2" width="12.44140625" customWidth="1"/>
    <col min="3" max="3" width="12.109375" customWidth="1"/>
    <col min="4" max="5" width="11.5546875" customWidth="1"/>
    <col min="6" max="6" width="9.33203125" customWidth="1"/>
    <col min="7" max="7" width="9.21875" customWidth="1"/>
    <col min="8" max="8" width="7.88671875" customWidth="1"/>
    <col min="9" max="10" width="8.21875" customWidth="1"/>
    <col min="11" max="11" width="11" customWidth="1"/>
    <col min="12" max="12" width="9.44140625" customWidth="1"/>
    <col min="13" max="14" width="11.109375" customWidth="1"/>
    <col min="15" max="15" width="12.44140625" customWidth="1"/>
    <col min="16" max="17" width="11.5546875" customWidth="1"/>
    <col min="18" max="18" width="10.88671875" customWidth="1"/>
  </cols>
  <sheetData>
    <row r="1" spans="1:22" x14ac:dyDescent="0.3">
      <c r="A1" s="1" t="s">
        <v>8</v>
      </c>
      <c r="B1" s="1"/>
      <c r="C1" s="2"/>
      <c r="D1" s="2"/>
      <c r="E1" s="2"/>
      <c r="F1" s="3" t="s">
        <v>9</v>
      </c>
      <c r="G1" s="3"/>
      <c r="H1" s="3"/>
      <c r="I1" s="3"/>
      <c r="J1" s="3"/>
      <c r="K1" s="4" t="s">
        <v>14</v>
      </c>
      <c r="L1" s="4"/>
      <c r="M1" s="4"/>
      <c r="N1" s="4"/>
      <c r="O1" s="4"/>
      <c r="P1" s="4"/>
      <c r="Q1" s="15" t="s">
        <v>28</v>
      </c>
      <c r="R1" s="7" t="s">
        <v>23</v>
      </c>
      <c r="S1" s="6"/>
      <c r="T1" s="6"/>
      <c r="U1" s="6"/>
      <c r="V1" s="6"/>
    </row>
    <row r="2" spans="1:22" x14ac:dyDescent="0.3">
      <c r="A2" s="2" t="s">
        <v>15</v>
      </c>
      <c r="B2" s="2" t="s">
        <v>16</v>
      </c>
      <c r="C2" s="2" t="s">
        <v>5</v>
      </c>
      <c r="D2" s="2" t="s">
        <v>6</v>
      </c>
      <c r="E2" s="2" t="s">
        <v>13</v>
      </c>
      <c r="F2" s="3" t="s">
        <v>0</v>
      </c>
      <c r="G2" s="3" t="s">
        <v>7</v>
      </c>
      <c r="H2" s="3" t="s">
        <v>10</v>
      </c>
      <c r="I2" s="3" t="s">
        <v>11</v>
      </c>
      <c r="J2" s="3" t="s">
        <v>12</v>
      </c>
      <c r="K2" s="4" t="s">
        <v>21</v>
      </c>
      <c r="L2" s="4" t="s">
        <v>22</v>
      </c>
      <c r="M2" s="4" t="s">
        <v>18</v>
      </c>
      <c r="N2" s="4" t="s">
        <v>19</v>
      </c>
      <c r="O2" s="4" t="s">
        <v>17</v>
      </c>
      <c r="P2" s="4" t="s">
        <v>20</v>
      </c>
      <c r="Q2" s="15" t="s">
        <v>0</v>
      </c>
      <c r="R2" s="7" t="s">
        <v>0</v>
      </c>
      <c r="S2" s="7" t="s">
        <v>1</v>
      </c>
      <c r="T2" s="7" t="s">
        <v>2</v>
      </c>
      <c r="U2" s="7" t="s">
        <v>3</v>
      </c>
      <c r="V2" s="7" t="s">
        <v>4</v>
      </c>
    </row>
    <row r="3" spans="1:22" x14ac:dyDescent="0.3">
      <c r="A3" s="8">
        <v>1787.75</v>
      </c>
      <c r="B3">
        <f>(3/4*A3/PI())^(1/3)</f>
        <v>7.5290363250616075</v>
      </c>
      <c r="C3">
        <f t="shared" ref="C3:C13" si="0">A3-D3</f>
        <v>1662.75</v>
      </c>
      <c r="D3" s="8">
        <v>125</v>
      </c>
      <c r="E3">
        <f>C3/D3</f>
        <v>13.302</v>
      </c>
      <c r="F3" s="9">
        <f>1.12309-0.00715</f>
        <v>1.1159399999999999</v>
      </c>
      <c r="G3" s="9">
        <v>8.0000000000000007E-5</v>
      </c>
      <c r="H3" s="9">
        <v>87.4</v>
      </c>
      <c r="I3" s="9">
        <v>4.3600000000000003</v>
      </c>
      <c r="J3" s="9">
        <v>8.24</v>
      </c>
      <c r="K3" s="10">
        <v>7.7593799999999997E-3</v>
      </c>
      <c r="L3" s="10">
        <v>8.9868599999999993E-3</v>
      </c>
      <c r="M3" s="10">
        <v>5.9162099999999999E-3</v>
      </c>
      <c r="N3" s="10">
        <v>7.6359100000000001E-3</v>
      </c>
      <c r="O3" s="10">
        <v>2.7750699999999998E-5</v>
      </c>
      <c r="P3" s="10">
        <v>3.0204300000000001E-5</v>
      </c>
      <c r="Q3">
        <f>(1-D3*L3/(A3*(N3-M3+P3-O3)))*(R3-1)+1</f>
        <v>1.0750025344138354</v>
      </c>
      <c r="R3">
        <f>S3*T3*U3*V3</f>
        <v>1.1180902330124556</v>
      </c>
      <c r="S3">
        <f>L3/K3</f>
        <v>1.1581930515066925</v>
      </c>
      <c r="T3">
        <f>(D3*M3+C3*O3)/(D3*N3+C3*P3)</f>
        <v>0.78198483510291927</v>
      </c>
      <c r="U3">
        <f>D3*M3/(D3*M3+C3*O3)</f>
        <v>0.94126980637887869</v>
      </c>
      <c r="V3">
        <f>K3/M3</f>
        <v>1.3115457362061185</v>
      </c>
    </row>
    <row r="4" spans="1:22" x14ac:dyDescent="0.3">
      <c r="A4" s="8">
        <v>1800</v>
      </c>
      <c r="B4">
        <f t="shared" ref="B4:B13" si="1">(3/4*A4/PI())^(1/3)</f>
        <v>7.5461939874065367</v>
      </c>
      <c r="C4">
        <f t="shared" si="0"/>
        <v>1675</v>
      </c>
      <c r="D4" s="8">
        <v>125</v>
      </c>
      <c r="E4">
        <f t="shared" ref="E4:E9" si="2">C4/D4</f>
        <v>13.4</v>
      </c>
      <c r="F4" s="9">
        <f>1.12367-0.00715</f>
        <v>1.11652</v>
      </c>
      <c r="G4" s="12">
        <v>1E-4</v>
      </c>
      <c r="H4" s="9">
        <v>87.44</v>
      </c>
      <c r="I4" s="9">
        <v>4.34</v>
      </c>
      <c r="J4" s="9">
        <v>8.2100000000000009</v>
      </c>
      <c r="K4" s="10">
        <v>7.7631499999999999E-3</v>
      </c>
      <c r="L4" s="10">
        <v>8.9863100000000008E-3</v>
      </c>
      <c r="M4" s="10">
        <v>5.9188599999999997E-3</v>
      </c>
      <c r="N4" s="10">
        <v>7.6301700000000004E-3</v>
      </c>
      <c r="O4" s="10">
        <v>2.7781400000000001E-5</v>
      </c>
      <c r="P4" s="10">
        <v>3.0216899999999999E-5</v>
      </c>
      <c r="Q4">
        <f t="shared" ref="Q4:Q22" si="3">(1-D4*L4/(A4*(N4-M4+P4-O4)))*(R4-1)+1</f>
        <v>1.0752759504827876</v>
      </c>
      <c r="R4">
        <f t="shared" ref="R4:R22" si="4">S4*T4*U4*V4</f>
        <v>1.1183851261074371</v>
      </c>
      <c r="S4">
        <f t="shared" ref="S4:S22" si="5">L4/K4</f>
        <v>1.1575597534505968</v>
      </c>
      <c r="T4">
        <f t="shared" ref="T4:T22" si="6">(D4*M4+C4*O4)/(D4*N4+C4*P4)</f>
        <v>0.78295841879269423</v>
      </c>
      <c r="U4">
        <f t="shared" ref="U4:U22" si="7">D4*M4/(D4*M4+C4*O4)</f>
        <v>0.94082609721499411</v>
      </c>
      <c r="V4">
        <f t="shared" ref="V4:V22" si="8">K4/M4</f>
        <v>1.3115954761558815</v>
      </c>
    </row>
    <row r="5" spans="1:22" x14ac:dyDescent="0.3">
      <c r="A5" s="8">
        <v>1900</v>
      </c>
      <c r="B5">
        <f t="shared" si="1"/>
        <v>7.6834274919558085</v>
      </c>
      <c r="C5">
        <f t="shared" si="0"/>
        <v>1775</v>
      </c>
      <c r="D5" s="8">
        <v>125</v>
      </c>
      <c r="E5">
        <f t="shared" si="2"/>
        <v>14.2</v>
      </c>
      <c r="F5" s="9">
        <f>1.12701-0.00715</f>
        <v>1.1198600000000001</v>
      </c>
      <c r="G5" s="9">
        <v>8.0000000000000007E-5</v>
      </c>
      <c r="H5" s="9">
        <v>87.81</v>
      </c>
      <c r="I5" s="9">
        <v>4.1100000000000003</v>
      </c>
      <c r="J5" s="9">
        <v>8.07</v>
      </c>
      <c r="K5" s="10">
        <v>7.8240500000000008E-3</v>
      </c>
      <c r="L5" s="10">
        <v>9.0165100000000001E-3</v>
      </c>
      <c r="M5" s="10">
        <v>5.9634400000000004E-3</v>
      </c>
      <c r="N5" s="10">
        <v>7.60379E-3</v>
      </c>
      <c r="O5" s="10">
        <v>2.8185900000000001E-5</v>
      </c>
      <c r="P5" s="10">
        <v>3.0504100000000002E-5</v>
      </c>
      <c r="Q5">
        <f t="shared" si="3"/>
        <v>1.0778688273197905</v>
      </c>
      <c r="R5">
        <f t="shared" si="4"/>
        <v>1.1218823057192722</v>
      </c>
      <c r="S5">
        <f t="shared" si="5"/>
        <v>1.1524095577098816</v>
      </c>
      <c r="T5">
        <f t="shared" si="6"/>
        <v>0.7918030085305191</v>
      </c>
      <c r="U5">
        <f t="shared" si="7"/>
        <v>0.93710560653006336</v>
      </c>
      <c r="V5">
        <f t="shared" si="8"/>
        <v>1.3120028037508553</v>
      </c>
    </row>
    <row r="6" spans="1:22" x14ac:dyDescent="0.3">
      <c r="A6" s="8">
        <v>2000</v>
      </c>
      <c r="B6">
        <f t="shared" si="1"/>
        <v>7.815926417967721</v>
      </c>
      <c r="C6">
        <f t="shared" si="0"/>
        <v>1875</v>
      </c>
      <c r="D6" s="8">
        <v>125</v>
      </c>
      <c r="E6" s="5">
        <f t="shared" si="2"/>
        <v>15</v>
      </c>
      <c r="F6" s="9">
        <f>1.12962-0.00715</f>
        <v>1.1224700000000001</v>
      </c>
      <c r="G6" s="9">
        <v>9.0000000000000006E-5</v>
      </c>
      <c r="H6" s="9">
        <v>88.12</v>
      </c>
      <c r="I6" s="9">
        <v>3.92</v>
      </c>
      <c r="J6" s="9">
        <v>7.96</v>
      </c>
      <c r="K6" s="10">
        <v>7.8720700000000001E-3</v>
      </c>
      <c r="L6" s="10">
        <v>9.0379999999999992E-3</v>
      </c>
      <c r="M6" s="10">
        <v>5.9983199999999997E-3</v>
      </c>
      <c r="N6" s="10">
        <v>7.5770500000000001E-3</v>
      </c>
      <c r="O6" s="10">
        <v>2.85178E-5</v>
      </c>
      <c r="P6" s="10">
        <v>3.0731200000000001E-5</v>
      </c>
      <c r="Q6">
        <f t="shared" si="3"/>
        <v>1.0799557739110628</v>
      </c>
      <c r="R6">
        <f t="shared" si="4"/>
        <v>1.1244065390249189</v>
      </c>
      <c r="S6">
        <f t="shared" si="5"/>
        <v>1.1481097093902872</v>
      </c>
      <c r="T6">
        <f t="shared" si="6"/>
        <v>0.79946163345242582</v>
      </c>
      <c r="U6">
        <f t="shared" si="7"/>
        <v>0.93343274063983261</v>
      </c>
      <c r="V6">
        <f t="shared" si="8"/>
        <v>1.3123791328238574</v>
      </c>
    </row>
    <row r="7" spans="1:22" x14ac:dyDescent="0.3">
      <c r="A7" s="8">
        <v>2100</v>
      </c>
      <c r="B7">
        <f t="shared" si="1"/>
        <v>7.9440791363553567</v>
      </c>
      <c r="C7">
        <f t="shared" si="0"/>
        <v>1975</v>
      </c>
      <c r="D7" s="8">
        <v>125</v>
      </c>
      <c r="E7">
        <f t="shared" si="2"/>
        <v>15.8</v>
      </c>
      <c r="F7" s="9">
        <f>1.13139-0.00715</f>
        <v>1.1242399999999999</v>
      </c>
      <c r="G7" s="9">
        <v>9.0000000000000006E-5</v>
      </c>
      <c r="H7" s="9">
        <v>88.42</v>
      </c>
      <c r="I7" s="9">
        <v>3.74</v>
      </c>
      <c r="J7" s="9">
        <v>7.85</v>
      </c>
      <c r="K7" s="10">
        <v>7.9099600000000006E-3</v>
      </c>
      <c r="L7" s="10">
        <v>9.0497200000000007E-3</v>
      </c>
      <c r="M7" s="10">
        <v>6.02573E-3</v>
      </c>
      <c r="N7" s="10">
        <v>7.5471499999999999E-3</v>
      </c>
      <c r="O7" s="10">
        <v>2.8816700000000001E-5</v>
      </c>
      <c r="P7" s="10">
        <v>3.0928600000000001E-5</v>
      </c>
      <c r="Q7">
        <f t="shared" si="3"/>
        <v>1.0815616721561248</v>
      </c>
      <c r="R7" s="13">
        <f t="shared" si="4"/>
        <v>1.126172298881269</v>
      </c>
      <c r="S7">
        <f t="shared" si="5"/>
        <v>1.1440917526763725</v>
      </c>
      <c r="T7">
        <f t="shared" si="6"/>
        <v>0.80651785925349551</v>
      </c>
      <c r="U7">
        <f t="shared" si="7"/>
        <v>0.92974826704577662</v>
      </c>
      <c r="V7">
        <f t="shared" si="8"/>
        <v>1.3126973827237531</v>
      </c>
    </row>
    <row r="8" spans="1:22" x14ac:dyDescent="0.3">
      <c r="A8" s="8">
        <v>2200</v>
      </c>
      <c r="B8">
        <f t="shared" si="1"/>
        <v>8.0682254251381877</v>
      </c>
      <c r="C8">
        <f t="shared" si="0"/>
        <v>2075</v>
      </c>
      <c r="D8" s="8">
        <v>125</v>
      </c>
      <c r="E8">
        <f t="shared" si="2"/>
        <v>16.600000000000001</v>
      </c>
      <c r="F8" s="9">
        <f>1.1327-0.00715</f>
        <v>1.1255500000000001</v>
      </c>
      <c r="G8" s="9">
        <v>8.0000000000000007E-5</v>
      </c>
      <c r="H8" s="9">
        <v>88.69</v>
      </c>
      <c r="I8" s="9">
        <v>3.56</v>
      </c>
      <c r="J8" s="9">
        <v>7.75</v>
      </c>
      <c r="K8" s="10">
        <v>7.9453200000000005E-3</v>
      </c>
      <c r="L8" s="10">
        <v>9.0619399999999992E-3</v>
      </c>
      <c r="M8" s="10">
        <v>6.0512099999999996E-3</v>
      </c>
      <c r="N8" s="10">
        <v>7.5199100000000003E-3</v>
      </c>
      <c r="O8" s="10">
        <v>2.9098499999999999E-5</v>
      </c>
      <c r="P8" s="10">
        <v>3.1119199999999998E-5</v>
      </c>
      <c r="Q8">
        <f t="shared" si="3"/>
        <v>1.0829282810895473</v>
      </c>
      <c r="R8">
        <f t="shared" si="4"/>
        <v>1.1275994175725044</v>
      </c>
      <c r="S8">
        <f t="shared" si="5"/>
        <v>1.1405380777614997</v>
      </c>
      <c r="T8">
        <f t="shared" si="6"/>
        <v>0.81307214228255642</v>
      </c>
      <c r="U8">
        <f t="shared" si="7"/>
        <v>0.92607637261724385</v>
      </c>
      <c r="V8">
        <f t="shared" si="8"/>
        <v>1.3130134303717771</v>
      </c>
    </row>
    <row r="9" spans="1:22" x14ac:dyDescent="0.3">
      <c r="A9" s="8">
        <v>2300</v>
      </c>
      <c r="B9">
        <f t="shared" si="1"/>
        <v>8.1886644564630746</v>
      </c>
      <c r="C9">
        <f t="shared" si="0"/>
        <v>2175</v>
      </c>
      <c r="D9" s="8">
        <v>125</v>
      </c>
      <c r="E9">
        <f t="shared" si="2"/>
        <v>17.399999999999999</v>
      </c>
      <c r="F9" s="9">
        <f>1.13376-0.00715</f>
        <v>1.1266100000000001</v>
      </c>
      <c r="G9" s="9">
        <v>9.0000000000000006E-5</v>
      </c>
      <c r="H9" s="9">
        <v>88.91</v>
      </c>
      <c r="I9" s="9">
        <v>3.42</v>
      </c>
      <c r="J9" s="9">
        <v>7.67</v>
      </c>
      <c r="K9" s="10">
        <v>7.9746499999999998E-3</v>
      </c>
      <c r="L9" s="10">
        <v>9.07086E-3</v>
      </c>
      <c r="M9" s="10">
        <v>6.0722600000000003E-3</v>
      </c>
      <c r="N9" s="10">
        <v>7.4923200000000002E-3</v>
      </c>
      <c r="O9" s="10">
        <v>2.9344900000000001E-5</v>
      </c>
      <c r="P9" s="10">
        <v>3.1286499999999999E-5</v>
      </c>
      <c r="Q9">
        <f t="shared" si="3"/>
        <v>1.0840683602579975</v>
      </c>
      <c r="R9">
        <f t="shared" si="4"/>
        <v>1.1286789657119556</v>
      </c>
      <c r="S9">
        <f t="shared" si="5"/>
        <v>1.1374618321807226</v>
      </c>
      <c r="T9">
        <f t="shared" si="6"/>
        <v>0.81909951629306377</v>
      </c>
      <c r="U9">
        <f t="shared" si="7"/>
        <v>0.92243475293902832</v>
      </c>
      <c r="V9">
        <f t="shared" si="8"/>
        <v>1.3132919209651759</v>
      </c>
    </row>
    <row r="10" spans="1:22" x14ac:dyDescent="0.3">
      <c r="A10" s="8">
        <v>2400</v>
      </c>
      <c r="B10">
        <f t="shared" si="1"/>
        <v>8.305661184154145</v>
      </c>
      <c r="C10">
        <f t="shared" si="0"/>
        <v>2275</v>
      </c>
      <c r="D10" s="8">
        <v>125</v>
      </c>
      <c r="E10">
        <f>C10/D10</f>
        <v>18.2</v>
      </c>
      <c r="F10" s="9">
        <f>1.13417-0.00715</f>
        <v>1.1270199999999999</v>
      </c>
      <c r="G10" s="9">
        <v>9.0000000000000006E-5</v>
      </c>
      <c r="H10" s="9">
        <v>89.12</v>
      </c>
      <c r="I10" s="9">
        <v>3.29</v>
      </c>
      <c r="J10" s="9">
        <v>7.6</v>
      </c>
      <c r="K10" s="10">
        <v>7.9980699999999995E-3</v>
      </c>
      <c r="L10" s="10">
        <v>9.0750399999999995E-3</v>
      </c>
      <c r="M10" s="10">
        <v>6.0889300000000002E-3</v>
      </c>
      <c r="N10" s="10">
        <v>7.4668299999999998E-3</v>
      </c>
      <c r="O10" s="10">
        <v>2.9565900000000001E-5</v>
      </c>
      <c r="P10" s="10">
        <v>3.1432500000000001E-5</v>
      </c>
      <c r="Q10" s="13">
        <f t="shared" si="3"/>
        <v>1.0847372958965205</v>
      </c>
      <c r="R10">
        <f t="shared" si="4"/>
        <v>1.1288905579947708</v>
      </c>
      <c r="S10">
        <f t="shared" si="5"/>
        <v>1.1346537352136203</v>
      </c>
      <c r="T10">
        <f t="shared" si="6"/>
        <v>0.82437001871462179</v>
      </c>
      <c r="U10">
        <f t="shared" si="7"/>
        <v>0.91880232466994127</v>
      </c>
      <c r="V10">
        <f t="shared" si="8"/>
        <v>1.3135427735250691</v>
      </c>
    </row>
    <row r="11" spans="1:22" s="2" customFormat="1" x14ac:dyDescent="0.3">
      <c r="A11" s="2">
        <v>2450</v>
      </c>
      <c r="B11" s="2">
        <f t="shared" si="1"/>
        <v>8.3629434162433274</v>
      </c>
      <c r="C11" s="2">
        <f t="shared" ref="C11" si="9">A11-D11</f>
        <v>2325</v>
      </c>
      <c r="D11" s="2">
        <v>125</v>
      </c>
      <c r="E11" s="16">
        <f t="shared" ref="E11" si="10">C11/D11</f>
        <v>18.600000000000001</v>
      </c>
      <c r="F11" s="1">
        <f>1.13423-0.00715</f>
        <v>1.1270800000000001</v>
      </c>
      <c r="G11" s="2">
        <v>4.0000000000000003E-5</v>
      </c>
      <c r="H11" s="2">
        <v>89.22</v>
      </c>
      <c r="I11" s="2">
        <v>3.22</v>
      </c>
      <c r="J11" s="2">
        <v>7.56</v>
      </c>
      <c r="K11" s="14">
        <v>8.0059699999999994E-3</v>
      </c>
      <c r="L11" s="14">
        <v>9.0735399999999997E-3</v>
      </c>
      <c r="M11" s="14">
        <v>6.0944199999999997E-3</v>
      </c>
      <c r="N11" s="14">
        <v>7.4504799999999998E-3</v>
      </c>
      <c r="O11" s="14">
        <v>2.96549E-5</v>
      </c>
      <c r="P11" s="14">
        <v>3.1486899999999998E-5</v>
      </c>
      <c r="Q11">
        <f t="shared" si="3"/>
        <v>1.0850818789901018</v>
      </c>
      <c r="R11" s="2">
        <f t="shared" ref="R11" si="11">S11*T11*U11*V11</f>
        <v>1.1290923419051897</v>
      </c>
      <c r="S11" s="2">
        <f t="shared" si="5"/>
        <v>1.1333467399952786</v>
      </c>
      <c r="T11" s="2">
        <f t="shared" si="6"/>
        <v>0.82701448293247837</v>
      </c>
      <c r="U11" s="2">
        <f t="shared" si="7"/>
        <v>0.91700556042938031</v>
      </c>
      <c r="V11" s="2">
        <f t="shared" si="8"/>
        <v>1.3136557703604281</v>
      </c>
    </row>
    <row r="12" spans="1:22" x14ac:dyDescent="0.3">
      <c r="A12" s="8">
        <v>2500</v>
      </c>
      <c r="B12">
        <f t="shared" si="1"/>
        <v>8.4194515048031491</v>
      </c>
      <c r="C12">
        <f t="shared" si="0"/>
        <v>2375</v>
      </c>
      <c r="D12" s="8">
        <v>125</v>
      </c>
      <c r="E12">
        <f t="shared" ref="E12:E14" si="12">C12/D12</f>
        <v>19</v>
      </c>
      <c r="F12" s="9">
        <f>1.13416-0.00715</f>
        <v>1.1270100000000001</v>
      </c>
      <c r="G12" s="9">
        <v>9.0000000000000006E-5</v>
      </c>
      <c r="H12" s="9">
        <v>89.32</v>
      </c>
      <c r="I12" s="9">
        <v>3.15</v>
      </c>
      <c r="J12" s="9">
        <v>7.53</v>
      </c>
      <c r="K12" s="10">
        <v>8.0138599999999994E-3</v>
      </c>
      <c r="L12" s="10">
        <v>9.0724800000000008E-3</v>
      </c>
      <c r="M12" s="10">
        <v>6.0999100000000001E-3</v>
      </c>
      <c r="N12" s="10">
        <v>7.4364899999999996E-3</v>
      </c>
      <c r="O12" s="10">
        <v>2.9756699999999999E-5</v>
      </c>
      <c r="P12" s="10">
        <v>3.1552900000000001E-5</v>
      </c>
      <c r="Q12">
        <f t="shared" si="3"/>
        <v>1.0852642079994974</v>
      </c>
      <c r="R12">
        <f t="shared" si="4"/>
        <v>1.1289802802393449</v>
      </c>
      <c r="S12">
        <f t="shared" si="5"/>
        <v>1.1320986391077461</v>
      </c>
      <c r="T12">
        <f t="shared" si="6"/>
        <v>0.82942899006994175</v>
      </c>
      <c r="U12">
        <f t="shared" si="7"/>
        <v>0.91517585446016714</v>
      </c>
      <c r="V12">
        <f t="shared" si="8"/>
        <v>1.3137669244300325</v>
      </c>
    </row>
    <row r="13" spans="1:22" x14ac:dyDescent="0.3">
      <c r="A13" s="8">
        <v>2600</v>
      </c>
      <c r="B13">
        <f t="shared" si="1"/>
        <v>8.5302464670992535</v>
      </c>
      <c r="C13">
        <f t="shared" si="0"/>
        <v>2475</v>
      </c>
      <c r="D13" s="8">
        <v>125</v>
      </c>
      <c r="E13">
        <f t="shared" si="12"/>
        <v>19.8</v>
      </c>
      <c r="F13" s="9">
        <f>1.13384-0.00715</f>
        <v>1.12669</v>
      </c>
      <c r="G13" s="9">
        <v>8.0000000000000007E-5</v>
      </c>
      <c r="H13" s="9">
        <v>89.49</v>
      </c>
      <c r="I13" s="9">
        <v>3.05</v>
      </c>
      <c r="J13" s="9">
        <v>7.46</v>
      </c>
      <c r="K13" s="10">
        <v>8.0302099999999994E-3</v>
      </c>
      <c r="L13" s="10">
        <v>9.0722700000000003E-3</v>
      </c>
      <c r="M13" s="10">
        <v>6.1114300000000002E-3</v>
      </c>
      <c r="N13" s="10">
        <v>7.4101999999999996E-3</v>
      </c>
      <c r="O13" s="10">
        <v>2.9938699999999998E-5</v>
      </c>
      <c r="P13" s="10">
        <v>3.1671000000000002E-5</v>
      </c>
      <c r="Q13">
        <f t="shared" si="3"/>
        <v>1.0855845794049988</v>
      </c>
      <c r="R13">
        <f>S13*T13*U13*V13</f>
        <v>1.1287728501579477</v>
      </c>
      <c r="S13">
        <f t="shared" si="5"/>
        <v>1.1297674656079979</v>
      </c>
      <c r="T13">
        <f t="shared" si="6"/>
        <v>0.83413933843188726</v>
      </c>
      <c r="U13">
        <f t="shared" si="7"/>
        <v>0.91158008080127173</v>
      </c>
      <c r="V13">
        <f t="shared" si="8"/>
        <v>1.3139657985119684</v>
      </c>
    </row>
    <row r="14" spans="1:22" x14ac:dyDescent="0.3">
      <c r="A14" s="8">
        <v>2700</v>
      </c>
      <c r="B14">
        <f t="shared" ref="B14:B20" si="13">(3/4*A14/PI())^(1/3)</f>
        <v>8.6382357344545806</v>
      </c>
      <c r="C14">
        <f t="shared" ref="C14:C20" si="14">A14-D14</f>
        <v>2575</v>
      </c>
      <c r="D14" s="8">
        <v>125</v>
      </c>
      <c r="E14">
        <f t="shared" si="12"/>
        <v>20.6</v>
      </c>
      <c r="F14" s="9">
        <f>1.1332-0.00715</f>
        <v>1.12605</v>
      </c>
      <c r="G14" s="9">
        <v>8.0000000000000007E-5</v>
      </c>
      <c r="H14" s="9">
        <v>89.65</v>
      </c>
      <c r="I14" s="9">
        <v>2.94</v>
      </c>
      <c r="J14" s="9">
        <v>7.41</v>
      </c>
      <c r="K14" s="10">
        <v>8.0402900000000003E-3</v>
      </c>
      <c r="L14" s="10">
        <v>9.0665099999999998E-3</v>
      </c>
      <c r="M14" s="10">
        <v>6.1180599999999998E-3</v>
      </c>
      <c r="N14" s="10">
        <v>7.3822699999999998E-3</v>
      </c>
      <c r="O14" s="10">
        <v>3.0100700000000001E-5</v>
      </c>
      <c r="P14" s="10">
        <v>3.1770899999999998E-5</v>
      </c>
      <c r="Q14">
        <f t="shared" si="3"/>
        <v>1.0856450032188094</v>
      </c>
      <c r="R14">
        <f t="shared" si="4"/>
        <v>1.1281313205971428</v>
      </c>
      <c r="S14">
        <f t="shared" si="5"/>
        <v>1.1276346997434172</v>
      </c>
      <c r="T14">
        <f t="shared" si="6"/>
        <v>0.83841527573406549</v>
      </c>
      <c r="U14">
        <f t="shared" si="7"/>
        <v>0.90797535618174863</v>
      </c>
      <c r="V14">
        <f t="shared" si="8"/>
        <v>1.3141894652880162</v>
      </c>
    </row>
    <row r="15" spans="1:22" x14ac:dyDescent="0.3">
      <c r="A15" s="8">
        <v>2800</v>
      </c>
      <c r="B15">
        <f t="shared" si="13"/>
        <v>8.7435904559023498</v>
      </c>
      <c r="C15">
        <f t="shared" si="14"/>
        <v>2675</v>
      </c>
      <c r="D15" s="8">
        <v>125</v>
      </c>
      <c r="E15">
        <f>C15/D15</f>
        <v>21.4</v>
      </c>
      <c r="F15" s="9">
        <f>1.1325-0.00715</f>
        <v>1.1253500000000001</v>
      </c>
      <c r="G15" s="9">
        <v>8.0000000000000007E-5</v>
      </c>
      <c r="H15" s="9">
        <v>89.79</v>
      </c>
      <c r="I15" s="9">
        <v>2.84</v>
      </c>
      <c r="J15" s="9">
        <v>7.36</v>
      </c>
      <c r="K15" s="10">
        <v>8.0475800000000004E-3</v>
      </c>
      <c r="L15" s="10">
        <v>9.0594899999999999E-3</v>
      </c>
      <c r="M15" s="10">
        <v>6.1228100000000002E-3</v>
      </c>
      <c r="N15" s="10">
        <v>7.3545499999999996E-3</v>
      </c>
      <c r="O15" s="10">
        <v>3.0250600000000001E-5</v>
      </c>
      <c r="P15" s="10">
        <v>3.18648E-5</v>
      </c>
      <c r="Q15">
        <f t="shared" si="3"/>
        <v>1.0855551424775949</v>
      </c>
      <c r="R15">
        <f t="shared" si="4"/>
        <v>1.127299046786878</v>
      </c>
      <c r="S15">
        <f t="shared" si="5"/>
        <v>1.1257409059617922</v>
      </c>
      <c r="T15">
        <f t="shared" si="6"/>
        <v>0.84243256398698063</v>
      </c>
      <c r="U15">
        <f t="shared" si="7"/>
        <v>0.90438016055141057</v>
      </c>
      <c r="V15">
        <f t="shared" si="8"/>
        <v>1.3143605632054562</v>
      </c>
    </row>
    <row r="16" spans="1:22" x14ac:dyDescent="0.3">
      <c r="A16" s="8">
        <v>2900</v>
      </c>
      <c r="B16">
        <f t="shared" si="13"/>
        <v>8.8464656637351879</v>
      </c>
      <c r="C16">
        <f t="shared" si="14"/>
        <v>2775</v>
      </c>
      <c r="D16" s="8">
        <v>125</v>
      </c>
      <c r="E16">
        <f t="shared" ref="E16:E17" si="15">C16/D16</f>
        <v>22.2</v>
      </c>
      <c r="F16" s="9">
        <f>1.13143-0.00715</f>
        <v>1.1242799999999999</v>
      </c>
      <c r="G16" s="9">
        <v>8.0000000000000007E-5</v>
      </c>
      <c r="H16" s="9">
        <v>89.93</v>
      </c>
      <c r="I16" s="9">
        <v>2.75</v>
      </c>
      <c r="J16" s="9">
        <v>7.32</v>
      </c>
      <c r="K16" s="10">
        <v>8.0519100000000007E-3</v>
      </c>
      <c r="L16" s="10">
        <v>9.0505199999999994E-3</v>
      </c>
      <c r="M16" s="10">
        <v>6.1253699999999998E-3</v>
      </c>
      <c r="N16" s="10">
        <v>7.3261400000000001E-3</v>
      </c>
      <c r="O16" s="10">
        <v>3.03722E-5</v>
      </c>
      <c r="P16" s="10">
        <v>3.19388E-5</v>
      </c>
      <c r="Q16">
        <f t="shared" si="3"/>
        <v>1.0853624966801543</v>
      </c>
      <c r="R16">
        <f t="shared" si="4"/>
        <v>1.1263616332363653</v>
      </c>
      <c r="S16">
        <f t="shared" si="5"/>
        <v>1.1240215054564691</v>
      </c>
      <c r="T16">
        <f t="shared" si="6"/>
        <v>0.84623265304866757</v>
      </c>
      <c r="U16">
        <f t="shared" si="7"/>
        <v>0.90083834585397993</v>
      </c>
      <c r="V16">
        <f t="shared" si="8"/>
        <v>1.3145181433937869</v>
      </c>
    </row>
    <row r="17" spans="1:22" x14ac:dyDescent="0.3">
      <c r="A17" s="8">
        <v>3000</v>
      </c>
      <c r="B17">
        <f t="shared" si="13"/>
        <v>8.9470022893964956</v>
      </c>
      <c r="C17">
        <f t="shared" si="14"/>
        <v>2875</v>
      </c>
      <c r="D17" s="8">
        <v>125</v>
      </c>
      <c r="E17">
        <f t="shared" si="15"/>
        <v>23</v>
      </c>
      <c r="F17" s="9">
        <f>1.1301-0.00715</f>
        <v>1.1229500000000001</v>
      </c>
      <c r="G17" s="9">
        <v>9.0000000000000006E-5</v>
      </c>
      <c r="H17" s="9">
        <v>90.05</v>
      </c>
      <c r="I17" s="9">
        <v>2.67</v>
      </c>
      <c r="J17" s="9">
        <v>7.28</v>
      </c>
      <c r="K17" s="10">
        <v>8.0527700000000008E-3</v>
      </c>
      <c r="L17" s="10">
        <v>9.0388199999999995E-3</v>
      </c>
      <c r="M17" s="10">
        <v>6.1252800000000003E-3</v>
      </c>
      <c r="N17" s="10">
        <v>7.2990299999999998E-3</v>
      </c>
      <c r="O17" s="10">
        <v>3.0475900000000001E-5</v>
      </c>
      <c r="P17" s="10">
        <v>3.1990599999999998E-5</v>
      </c>
      <c r="Q17">
        <f t="shared" si="3"/>
        <v>1.084914109465374</v>
      </c>
      <c r="R17">
        <f t="shared" si="4"/>
        <v>1.1249569965143433</v>
      </c>
      <c r="S17">
        <f t="shared" si="5"/>
        <v>1.12244854876024</v>
      </c>
      <c r="T17">
        <f t="shared" si="6"/>
        <v>0.84958106932110855</v>
      </c>
      <c r="U17">
        <f t="shared" si="7"/>
        <v>0.89731577436708543</v>
      </c>
      <c r="V17">
        <f t="shared" si="8"/>
        <v>1.3146778596243764</v>
      </c>
    </row>
    <row r="18" spans="1:22" x14ac:dyDescent="0.3">
      <c r="A18" s="8">
        <v>3100</v>
      </c>
      <c r="B18">
        <f t="shared" si="13"/>
        <v>9.0453288690038569</v>
      </c>
      <c r="C18">
        <f t="shared" si="14"/>
        <v>2975</v>
      </c>
      <c r="D18" s="8">
        <v>125</v>
      </c>
      <c r="E18">
        <f>C18/D18</f>
        <v>23.8</v>
      </c>
      <c r="F18" s="9">
        <f>1.12871-0.00715</f>
        <v>1.1215600000000001</v>
      </c>
      <c r="G18" s="9">
        <v>8.0000000000000007E-5</v>
      </c>
      <c r="H18" s="9">
        <v>90.18</v>
      </c>
      <c r="I18" s="9">
        <v>2.58</v>
      </c>
      <c r="J18" s="9">
        <v>7.24</v>
      </c>
      <c r="K18" s="10">
        <v>8.0567799999999995E-3</v>
      </c>
      <c r="L18" s="10">
        <v>9.0302799999999999E-3</v>
      </c>
      <c r="M18" s="10">
        <v>6.1276100000000003E-3</v>
      </c>
      <c r="N18" s="10">
        <v>7.2742299999999996E-3</v>
      </c>
      <c r="O18" s="10">
        <v>3.0578699999999999E-5</v>
      </c>
      <c r="P18" s="10">
        <v>3.2046499999999999E-5</v>
      </c>
      <c r="Q18">
        <f t="shared" si="3"/>
        <v>1.0843975071772403</v>
      </c>
      <c r="R18">
        <f t="shared" si="4"/>
        <v>1.1235972531673668</v>
      </c>
      <c r="S18">
        <f t="shared" si="5"/>
        <v>1.1208299097157923</v>
      </c>
      <c r="T18">
        <f t="shared" si="6"/>
        <v>0.85298457806691452</v>
      </c>
      <c r="U18">
        <f t="shared" si="7"/>
        <v>0.89383918394780415</v>
      </c>
      <c r="V18">
        <f t="shared" si="8"/>
        <v>1.3148323734702436</v>
      </c>
    </row>
    <row r="19" spans="1:22" x14ac:dyDescent="0.3">
      <c r="A19" s="8">
        <v>3200</v>
      </c>
      <c r="B19">
        <f t="shared" si="13"/>
        <v>9.1415629946816637</v>
      </c>
      <c r="C19">
        <f t="shared" si="14"/>
        <v>3075</v>
      </c>
      <c r="D19" s="8">
        <v>125</v>
      </c>
      <c r="E19">
        <f t="shared" ref="E19:E21" si="16">C19/D19</f>
        <v>24.6</v>
      </c>
      <c r="F19" s="9">
        <f>1.12706-0.00715</f>
        <v>1.11991</v>
      </c>
      <c r="G19" s="9">
        <v>6.9999999999999994E-5</v>
      </c>
      <c r="H19" s="9">
        <v>90.28</v>
      </c>
      <c r="I19" s="9">
        <v>2.5099999999999998</v>
      </c>
      <c r="J19" s="9">
        <v>7.21</v>
      </c>
      <c r="K19" s="10">
        <v>8.0523299999999999E-3</v>
      </c>
      <c r="L19" s="10">
        <v>9.0147100000000004E-3</v>
      </c>
      <c r="M19" s="10">
        <v>6.1235500000000002E-3</v>
      </c>
      <c r="N19" s="10">
        <v>7.2455499999999999E-3</v>
      </c>
      <c r="O19" s="10">
        <v>3.0666000000000001E-5</v>
      </c>
      <c r="P19" s="10">
        <v>3.2091400000000002E-5</v>
      </c>
      <c r="Q19">
        <f t="shared" si="3"/>
        <v>1.0837114635815925</v>
      </c>
      <c r="R19">
        <f t="shared" si="4"/>
        <v>1.1219305227394669</v>
      </c>
      <c r="S19">
        <f t="shared" si="5"/>
        <v>1.1195157178108697</v>
      </c>
      <c r="T19">
        <f t="shared" si="6"/>
        <v>0.85599688056691148</v>
      </c>
      <c r="U19">
        <f t="shared" si="7"/>
        <v>0.89031827815261266</v>
      </c>
      <c r="V19">
        <f t="shared" si="8"/>
        <v>1.3149774232267231</v>
      </c>
    </row>
    <row r="20" spans="1:22" x14ac:dyDescent="0.3">
      <c r="A20" s="8">
        <v>3300</v>
      </c>
      <c r="B20">
        <f t="shared" si="13"/>
        <v>9.2358125562865929</v>
      </c>
      <c r="C20">
        <f t="shared" si="14"/>
        <v>3175</v>
      </c>
      <c r="D20" s="8">
        <v>125</v>
      </c>
      <c r="E20">
        <f t="shared" si="16"/>
        <v>25.4</v>
      </c>
      <c r="F20" s="9">
        <f>1.12516-0.00715</f>
        <v>1.1180099999999999</v>
      </c>
      <c r="G20" s="9">
        <v>8.0000000000000007E-5</v>
      </c>
      <c r="H20" s="9">
        <v>90.37</v>
      </c>
      <c r="I20" s="9">
        <v>2.44</v>
      </c>
      <c r="J20" s="9">
        <v>7.19</v>
      </c>
      <c r="K20" s="10">
        <v>8.0503399999999996E-3</v>
      </c>
      <c r="L20" s="10">
        <v>9.0020399999999993E-3</v>
      </c>
      <c r="M20" s="10">
        <v>6.1215499999999999E-3</v>
      </c>
      <c r="N20" s="10">
        <v>7.2201499999999998E-3</v>
      </c>
      <c r="O20" s="10">
        <v>3.0752700000000001E-5</v>
      </c>
      <c r="P20" s="10">
        <v>3.2136299999999999E-5</v>
      </c>
      <c r="Q20">
        <f t="shared" si="3"/>
        <v>1.0829089912627168</v>
      </c>
      <c r="R20">
        <f t="shared" si="4"/>
        <v>1.1201566044146154</v>
      </c>
      <c r="S20">
        <f t="shared" si="5"/>
        <v>1.1182186094003483</v>
      </c>
      <c r="T20">
        <f t="shared" si="6"/>
        <v>0.85892417696125045</v>
      </c>
      <c r="U20">
        <f t="shared" si="7"/>
        <v>0.88683817411381494</v>
      </c>
      <c r="V20">
        <f t="shared" si="8"/>
        <v>1.3150819645351259</v>
      </c>
    </row>
    <row r="21" spans="1:22" x14ac:dyDescent="0.3">
      <c r="A21" s="8">
        <v>3400</v>
      </c>
      <c r="B21">
        <f t="shared" ref="B21:B22" si="17">(3/4*A21/PI())^(1/3)</f>
        <v>9.3281768091853099</v>
      </c>
      <c r="C21">
        <f t="shared" ref="C21:C22" si="18">A21-D21</f>
        <v>3275</v>
      </c>
      <c r="D21" s="8">
        <v>125</v>
      </c>
      <c r="E21">
        <f t="shared" si="16"/>
        <v>26.2</v>
      </c>
      <c r="F21" s="9"/>
      <c r="G21" s="9"/>
      <c r="H21" s="9"/>
      <c r="I21" s="9"/>
      <c r="J21" s="9"/>
      <c r="K21" s="11"/>
      <c r="L21" s="11"/>
      <c r="M21" s="11"/>
      <c r="N21" s="11"/>
      <c r="O21" s="11"/>
      <c r="P21" s="11"/>
      <c r="Q21" t="e">
        <f t="shared" si="3"/>
        <v>#DIV/0!</v>
      </c>
      <c r="R21" t="e">
        <f t="shared" si="4"/>
        <v>#DIV/0!</v>
      </c>
      <c r="S21" t="e">
        <f t="shared" si="5"/>
        <v>#DIV/0!</v>
      </c>
      <c r="T21" t="e">
        <f t="shared" si="6"/>
        <v>#DIV/0!</v>
      </c>
      <c r="U21" t="e">
        <f t="shared" si="7"/>
        <v>#DIV/0!</v>
      </c>
      <c r="V21" t="e">
        <f t="shared" si="8"/>
        <v>#DIV/0!</v>
      </c>
    </row>
    <row r="22" spans="1:22" x14ac:dyDescent="0.3">
      <c r="A22" s="8">
        <v>3500</v>
      </c>
      <c r="B22">
        <f t="shared" si="17"/>
        <v>9.4187472968138586</v>
      </c>
      <c r="C22">
        <f t="shared" si="18"/>
        <v>3375</v>
      </c>
      <c r="D22" s="8">
        <v>125</v>
      </c>
      <c r="E22">
        <f>C22/D22</f>
        <v>27</v>
      </c>
      <c r="F22" s="9"/>
      <c r="G22" s="9"/>
      <c r="H22" s="9"/>
      <c r="I22" s="9"/>
      <c r="J22" s="9"/>
      <c r="K22" s="11"/>
      <c r="L22" s="11"/>
      <c r="M22" s="11"/>
      <c r="N22" s="11"/>
      <c r="O22" s="11"/>
      <c r="P22" s="11"/>
      <c r="Q22" t="e">
        <f t="shared" si="3"/>
        <v>#DIV/0!</v>
      </c>
      <c r="R22" t="e">
        <f t="shared" si="4"/>
        <v>#DIV/0!</v>
      </c>
      <c r="S22" t="e">
        <f t="shared" si="5"/>
        <v>#DIV/0!</v>
      </c>
      <c r="T22" t="e">
        <f t="shared" si="6"/>
        <v>#DIV/0!</v>
      </c>
      <c r="U22" t="e">
        <f t="shared" si="7"/>
        <v>#DIV/0!</v>
      </c>
      <c r="V22" t="e">
        <f t="shared" si="8"/>
        <v>#DIV/0!</v>
      </c>
    </row>
    <row r="26" spans="1:22" x14ac:dyDescent="0.3">
      <c r="O26" s="2" t="s">
        <v>25</v>
      </c>
      <c r="P26" s="2">
        <v>1.1230899999999999</v>
      </c>
    </row>
    <row r="27" spans="1:22" x14ac:dyDescent="0.3">
      <c r="O27" s="2" t="s">
        <v>26</v>
      </c>
      <c r="P27" s="2">
        <v>1.1159399999999999</v>
      </c>
    </row>
    <row r="28" spans="1:22" x14ac:dyDescent="0.3">
      <c r="O28" s="2" t="s">
        <v>27</v>
      </c>
      <c r="P28" s="2">
        <f>P26-P27</f>
        <v>7.1499999999999897E-3</v>
      </c>
    </row>
    <row r="31" spans="1:22" x14ac:dyDescent="0.3">
      <c r="G31" t="s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Park</dc:creator>
  <cp:lastModifiedBy>Patrick Park</cp:lastModifiedBy>
  <dcterms:created xsi:type="dcterms:W3CDTF">2015-06-05T18:17:20Z</dcterms:created>
  <dcterms:modified xsi:type="dcterms:W3CDTF">2024-06-18T06:00:45Z</dcterms:modified>
</cp:coreProperties>
</file>