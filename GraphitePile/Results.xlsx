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MCNP\b8\GraphitePile\"/>
    </mc:Choice>
  </mc:AlternateContent>
  <xr:revisionPtr revIDLastSave="0" documentId="13_ncr:1_{76A4375A-C3C8-43E6-BDBB-4EC8DC26120F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4" i="1"/>
  <c r="G78" i="1"/>
  <c r="G77" i="1"/>
  <c r="G76" i="1"/>
  <c r="G75" i="1"/>
  <c r="G74" i="1"/>
  <c r="G73" i="1"/>
  <c r="G72" i="1"/>
  <c r="G71" i="1"/>
  <c r="G70" i="1"/>
  <c r="G69" i="1"/>
  <c r="G68" i="1"/>
  <c r="G28" i="1"/>
  <c r="G29" i="1"/>
  <c r="G39" i="1"/>
  <c r="G40" i="1"/>
  <c r="G65" i="1"/>
  <c r="G66" i="1"/>
  <c r="G63" i="1"/>
  <c r="G64" i="1"/>
  <c r="G62" i="1"/>
  <c r="G61" i="1"/>
  <c r="G60" i="1"/>
  <c r="G59" i="1"/>
  <c r="G58" i="1"/>
  <c r="G57" i="1"/>
  <c r="G56" i="1"/>
  <c r="G55" i="1"/>
  <c r="G54" i="1"/>
  <c r="G2" i="1"/>
  <c r="G3" i="1"/>
  <c r="G4" i="1"/>
  <c r="G5" i="1"/>
  <c r="G6" i="1"/>
  <c r="G7" i="1"/>
  <c r="G8" i="1"/>
  <c r="G9" i="1"/>
  <c r="G10" i="1"/>
  <c r="G11" i="1"/>
  <c r="G12" i="1"/>
  <c r="G16" i="1"/>
  <c r="G17" i="1"/>
  <c r="G18" i="1"/>
  <c r="G19" i="1"/>
  <c r="G20" i="1"/>
  <c r="G21" i="1"/>
  <c r="G22" i="1"/>
  <c r="G23" i="1"/>
  <c r="G24" i="1"/>
  <c r="G25" i="1"/>
  <c r="G26" i="1"/>
  <c r="G45" i="1"/>
  <c r="G46" i="1"/>
  <c r="G47" i="1"/>
  <c r="G48" i="1"/>
  <c r="G49" i="1"/>
  <c r="G50" i="1"/>
  <c r="G51" i="1"/>
  <c r="G52" i="1"/>
  <c r="G44" i="1"/>
  <c r="G43" i="1"/>
  <c r="G42" i="1"/>
  <c r="G30" i="1"/>
  <c r="G31" i="1"/>
  <c r="G32" i="1"/>
  <c r="G33" i="1"/>
  <c r="G34" i="1"/>
  <c r="G35" i="1"/>
  <c r="G36" i="1"/>
  <c r="G37" i="1"/>
  <c r="G38" i="1"/>
</calcChain>
</file>

<file path=xl/sharedStrings.xml><?xml version="1.0" encoding="utf-8"?>
<sst xmlns="http://schemas.openxmlformats.org/spreadsheetml/2006/main" count="81" uniqueCount="80">
  <si>
    <t>Filename</t>
  </si>
  <si>
    <t>k_eff</t>
  </si>
  <si>
    <t>unc</t>
  </si>
  <si>
    <t>Pitch</t>
  </si>
  <si>
    <t>o-seg-unit-Urho19_01-Uebc0-Grho1_70-Gebc0-pitch14.o</t>
  </si>
  <si>
    <t>o-seg-unit-Urho19_01-Uebc0-Grho1_70-Gebc0-pitch15.o</t>
  </si>
  <si>
    <t>o-seg-unit-Urho19_01-Uebc0-Grho1_70-Gebc0-pitch16.o</t>
  </si>
  <si>
    <t>o-seg-unit-Urho19_01-Uebc0-Grho1_70-Gebc0-pitch17.o</t>
  </si>
  <si>
    <t>o-seg-unit-Urho19_01-Uebc0-Grho1_70-Gebc0-pitch18.o</t>
  </si>
  <si>
    <t>o-seg-unit-Urho19_01-Uebc0-Grho1_70-Gebc0-pitch19.o</t>
  </si>
  <si>
    <t>o-seg-unit-Urho19_01-Uebc0-Grho1_70-Gebc0-pitch20.o</t>
  </si>
  <si>
    <t>o-seg-unit-Urho19_01-Uebc0-Grho1_70-Gebc0-pitch21.o</t>
  </si>
  <si>
    <t>o-seg-unit-Urho19_01-Uebc0-Grho1_70-Gebc0-pitch22.o</t>
  </si>
  <si>
    <t>o-seg-unit-Urho19_01-Uebc0-Grho1_70-Gebc0-pitch23.o</t>
  </si>
  <si>
    <t>o-seg-unit-Urho19_01-Uebc0-Grho1_70-Gebc0-pitch24.o</t>
  </si>
  <si>
    <t>V_M/V_F</t>
  </si>
  <si>
    <t>o-unit_cell-b8_u-agot_grph-pitch_14cm.o</t>
  </si>
  <si>
    <t>o-unit_cell-b8_u-agot_grph-pitch_15cm.o</t>
  </si>
  <si>
    <t>o-unit_cell-b8_u-agot_grph-pitch_16cm.o</t>
  </si>
  <si>
    <t>o-unit_cell-b8_u-agot_grph-pitch_17cm.o</t>
  </si>
  <si>
    <t>o-unit_cell-b8_u-agot_grph-pitch_18cm.o</t>
  </si>
  <si>
    <t>o-unit_cell-b8_u-agot_grph-pitch_19cm.o</t>
  </si>
  <si>
    <t>o-unit_cell-b8_u-agot_grph-pitch_20cm.o</t>
  </si>
  <si>
    <t>o-unit_cell-b8_u-agot_grph-pitch_21cm.o</t>
  </si>
  <si>
    <t>o-unit_cell-b8_u-agot_grph-pitch_22cm.o</t>
  </si>
  <si>
    <t>o-unit_cell-b8_u-agot_grph-pitch_23cm.o</t>
  </si>
  <si>
    <t>o-unit_cell-b8_u-agot_grph-pitch_24cm.o</t>
  </si>
  <si>
    <t>o-unit_cell-b8_u-b7_grph-pitch_14cm.o</t>
  </si>
  <si>
    <t>o-unit_cell-b8_u-b7_grph-pitch_15cm.o</t>
  </si>
  <si>
    <t>o-unit_cell-b8_u-b7_grph-pitch_16cm.o</t>
  </si>
  <si>
    <t>o-unit_cell-b8_u-b7_grph-pitch_17cm.o</t>
  </si>
  <si>
    <t>o-unit_cell-b8_u-b7_grph-pitch_18cm.o</t>
  </si>
  <si>
    <t>o-unit_cell-b8_u-b7_grph-pitch_19cm.o</t>
  </si>
  <si>
    <t>o-unit_cell-b8_u-b7_grph-pitch_20cm.o</t>
  </si>
  <si>
    <t>o-unit_cell-b8_u-b7_grph-pitch_21cm.o</t>
  </si>
  <si>
    <t>o-unit_cell-b8_u-b7_grph-pitch_22cm.o</t>
  </si>
  <si>
    <t>o-unit_cell-b8_u-b7_grph-pitch_23cm.o</t>
  </si>
  <si>
    <t>o-unit_cell-b8_u-b7_grph-pitch_24cm.o</t>
  </si>
  <si>
    <t>o-unit_cell-nominal_u-agot_grph-pitch_14cm.o</t>
  </si>
  <si>
    <t>o-unit_cell-nominal_u-agot_grph-pitch_15cm.o</t>
  </si>
  <si>
    <t>o-unit_cell-nominal_u-agot_grph-pitch_16cm.o</t>
  </si>
  <si>
    <t>o-unit_cell-nominal_u-agot_grph-pitch_17cm.o</t>
  </si>
  <si>
    <t>o-unit_cell-nominal_u-agot_grph-pitch_18cm.o</t>
  </si>
  <si>
    <t>o-unit_cell-nominal_u-agot_grph-pitch_19cm.o</t>
  </si>
  <si>
    <t>o-unit_cell-nominal_u-agot_grph-pitch_20cm.o</t>
  </si>
  <si>
    <t>o-unit_cell-nominal_u-agot_grph-pitch_21cm.o</t>
  </si>
  <si>
    <t>o-unit_cell-nominal_u-agot_grph-pitch_22cm.o</t>
  </si>
  <si>
    <t>o-unit_cell-nominal_u-agot_grph-pitch_23cm.o</t>
  </si>
  <si>
    <t>o-unit_cell-nominal_u-agot_grph-pitch_24cm.o</t>
  </si>
  <si>
    <t>o-unit_cell-nominal_u-b7_grph-pitch_14cm.o</t>
  </si>
  <si>
    <t>o-unit_cell-nominal_u-b7_grph-pitch_15cm.o</t>
  </si>
  <si>
    <t>o-unit_cell-nominal_u-b7_grph-pitch_16cm.o</t>
  </si>
  <si>
    <t>o-unit_cell-nominal_u-b7_grph-pitch_17cm.o</t>
  </si>
  <si>
    <t>o-unit_cell-nominal_u-b7_grph-pitch_18cm.o</t>
  </si>
  <si>
    <t>o-unit_cell-nominal_u-b7_grph-pitch_19cm.o</t>
  </si>
  <si>
    <t>o-unit_cell-nominal_u-b7_grph-pitch_20cm.o</t>
  </si>
  <si>
    <t>o-unit_cell-nominal_u-b7_grph-pitch_21cm.o</t>
  </si>
  <si>
    <t>o-unit_cell-nominal_u-b7_grph-pitch_22cm.o</t>
  </si>
  <si>
    <t>o-unit_cell-nominal_u-b7_grph-pitch_23cm.o</t>
  </si>
  <si>
    <t>o-unit_cell-nominal_u-b7_grph-pitch_24cm.o</t>
  </si>
  <si>
    <t>EBC (wppm)</t>
  </si>
  <si>
    <t>U Density</t>
  </si>
  <si>
    <t>Grph density</t>
  </si>
  <si>
    <t>o-seg-unit-Urho19_01-Uebc0-Grho1_70-Gebc0-pitch25.o</t>
  </si>
  <si>
    <t>o-seg-unit-Urho19_01-Uebc0-Grho1_70-Gebc0-pitch26.o</t>
  </si>
  <si>
    <t>o-unit_cell-nominal_u-agot_grph-pitch_25cm.o</t>
  </si>
  <si>
    <t>o-unit_cell-nominal_u-agot_grph-pitch_26cm.o</t>
  </si>
  <si>
    <t>o-seg-unit-Urho18_53-Uebc7_1-Grho1_70-Gebc6_6-pitch12.o</t>
  </si>
  <si>
    <t>o-seg-unit-Urho18_53-Uebc7_1-Grho1_70-Gebc6_6-pitch13.o</t>
  </si>
  <si>
    <t>o-seg-unit-Urho18_53-Uebc7_1-Grho1_70-Gebc6_6-pitch14.o</t>
  </si>
  <si>
    <t>o-seg-unit-Urho18_53-Uebc7_1-Grho1_70-Gebc6_6-pitch15.o</t>
  </si>
  <si>
    <t>o-seg-unit-Urho18_53-Uebc7_1-Grho1_70-Gebc6_6-pitch16.o</t>
  </si>
  <si>
    <t>o-seg-unit-Urho18_53-Uebc7_1-Grho1_70-Gebc6_6-pitch17.o</t>
  </si>
  <si>
    <t>o-seg-unit-Urho18_53-Uebc7_1-Grho1_70-Gebc6_6-pitch18.o</t>
  </si>
  <si>
    <t>o-seg-unit-Urho18_53-Uebc7_1-Grho1_70-Gebc6_6-pitch19.o</t>
  </si>
  <si>
    <t>o-seg-unit-Urho18_53-Uebc7_1-Grho1_70-Gebc6_6-pitch20.o</t>
  </si>
  <si>
    <t>o-seg-unit-Urho18_53-Uebc7_1-Grho1_70-Gebc6_6-pitch21.o</t>
  </si>
  <si>
    <t>o-seg-unit-Urho18_53-Uebc7_1-Grho1_70-Gebc6_6-pitch22.o</t>
  </si>
  <si>
    <t>o-unit_cell-b8_u-agot_grph-pitch_25cm.o</t>
  </si>
  <si>
    <t>o-unit_cell-b8_u-agot_grph-pitch_26cm.o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</si>
</sst>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38527"/>
      <color rgb="FF41CD68"/>
      <color rgb="FFF41859"/>
      <color rgb="FFAD5DBC"/>
      <color rgb="FF009A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rgbClr val="F41859"/>
              </a:solidFill>
              <a:ln w="12700">
                <a:noFill/>
              </a:ln>
              <a:effectLst/>
            </c:spPr>
          </c:marker>
          <c:trendline>
            <c:spPr>
              <a:ln w="9525" cap="rnd">
                <a:solidFill>
                  <a:srgbClr val="F41859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Sheet1!$F$2:$F$14</c:f>
              <c:numCache>
                <c:formatCode>General</c:formatCode>
                <c:ptCount val="13"/>
                <c:pt idx="0">
                  <c:v>14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</c:numCache>
            </c:numRef>
          </c:xVal>
          <c:yVal>
            <c:numRef>
              <c:f>Sheet1!$H$2:$H$14</c:f>
              <c:numCache>
                <c:formatCode>General</c:formatCode>
                <c:ptCount val="13"/>
                <c:pt idx="0">
                  <c:v>0.96362999999999999</c:v>
                </c:pt>
                <c:pt idx="1">
                  <c:v>1.0035099999999999</c:v>
                </c:pt>
                <c:pt idx="2">
                  <c:v>1.03057</c:v>
                </c:pt>
                <c:pt idx="3">
                  <c:v>1.04864</c:v>
                </c:pt>
                <c:pt idx="4">
                  <c:v>1.05691</c:v>
                </c:pt>
                <c:pt idx="5">
                  <c:v>1.0579000000000001</c:v>
                </c:pt>
                <c:pt idx="6">
                  <c:v>1.05308</c:v>
                </c:pt>
                <c:pt idx="7">
                  <c:v>1.0433600000000001</c:v>
                </c:pt>
                <c:pt idx="8">
                  <c:v>1.0287299999999999</c:v>
                </c:pt>
                <c:pt idx="9">
                  <c:v>1.0114099999999999</c:v>
                </c:pt>
                <c:pt idx="10">
                  <c:v>0.99102000000000001</c:v>
                </c:pt>
                <c:pt idx="11">
                  <c:v>0.96836</c:v>
                </c:pt>
                <c:pt idx="12">
                  <c:v>0.94374999999999998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B-4E5B-B11A-2E6840E61FAC}"/>
            </c:ext>
          </c:extLst>
        </c:ser>
        <c:ser>
          <c:idx val="1"/>
          <c:order val="1"/>
          <c:tx>
            <c:v>"B8NU-B8grph"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9525" cap="rnd">
                <a:solidFill>
                  <a:schemeClr val="tx1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Sheet1!$F$16:$F$26</c:f>
              <c:numCache>
                <c:formatCode>General</c:formatCode>
                <c:ptCount val="11"/>
                <c:pt idx="0">
                  <c:v>14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</c:numCache>
            </c:numRef>
          </c:xVal>
          <c:yVal>
            <c:numRef>
              <c:f>Sheet1!$H$16:$H$26</c:f>
              <c:numCache>
                <c:formatCode>General</c:formatCode>
                <c:ptCount val="11"/>
                <c:pt idx="0">
                  <c:v>0.96059000000000005</c:v>
                </c:pt>
                <c:pt idx="1">
                  <c:v>0.99246999999999996</c:v>
                </c:pt>
                <c:pt idx="2">
                  <c:v>1.0120199999999999</c:v>
                </c:pt>
                <c:pt idx="3">
                  <c:v>1.0200499999999999</c:v>
                </c:pt>
                <c:pt idx="4">
                  <c:v>1.01922</c:v>
                </c:pt>
                <c:pt idx="5">
                  <c:v>1.01197</c:v>
                </c:pt>
                <c:pt idx="6">
                  <c:v>0.99856</c:v>
                </c:pt>
                <c:pt idx="7">
                  <c:v>0.97972999999999999</c:v>
                </c:pt>
                <c:pt idx="8">
                  <c:v>0.95721000000000001</c:v>
                </c:pt>
                <c:pt idx="9">
                  <c:v>0.93257000000000001</c:v>
                </c:pt>
                <c:pt idx="10">
                  <c:v>0.90500000000000003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AB-4E5B-B11A-2E6840E61FAC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41CD68"/>
              </a:solidFill>
              <a:ln w="9525">
                <a:noFill/>
              </a:ln>
              <a:effectLst/>
            </c:spPr>
          </c:marker>
          <c:trendline>
            <c:spPr>
              <a:ln w="9525" cap="rnd">
                <a:solidFill>
                  <a:srgbClr val="41CD68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Sheet1!$F$28:$F$40</c:f>
              <c:numCache>
                <c:formatCode>General</c:formatCode>
                <c:ptCount val="13"/>
                <c:pt idx="0">
                  <c:v>14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</c:numCache>
            </c:numRef>
          </c:xVal>
          <c:yVal>
            <c:numRef>
              <c:f>Sheet1!$H$28:$H$40</c:f>
              <c:numCache>
                <c:formatCode>General</c:formatCode>
                <c:ptCount val="13"/>
                <c:pt idx="0">
                  <c:v>0.97521999999999998</c:v>
                </c:pt>
                <c:pt idx="1">
                  <c:v>1.0164299999999999</c:v>
                </c:pt>
                <c:pt idx="2">
                  <c:v>1.0458700000000001</c:v>
                </c:pt>
                <c:pt idx="3">
                  <c:v>1.0630500000000001</c:v>
                </c:pt>
                <c:pt idx="4">
                  <c:v>1.0724400000000001</c:v>
                </c:pt>
                <c:pt idx="5">
                  <c:v>1.0734300000000001</c:v>
                </c:pt>
                <c:pt idx="6">
                  <c:v>1.0687</c:v>
                </c:pt>
                <c:pt idx="7">
                  <c:v>1.0589999999999999</c:v>
                </c:pt>
                <c:pt idx="8">
                  <c:v>1.04487</c:v>
                </c:pt>
                <c:pt idx="9">
                  <c:v>1.0271600000000001</c:v>
                </c:pt>
                <c:pt idx="10">
                  <c:v>1.00644</c:v>
                </c:pt>
                <c:pt idx="11">
                  <c:v>0.98375000000000001</c:v>
                </c:pt>
                <c:pt idx="12">
                  <c:v>0.95835999999999999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41-416A-AD9E-02BCA09A254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trendline>
            <c:spPr>
              <a:ln w="9525" cap="rnd">
                <a:solidFill>
                  <a:srgbClr val="009ADE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Sheet1!$F$42:$F$52</c:f>
              <c:numCache>
                <c:formatCode>General</c:formatCode>
                <c:ptCount val="11"/>
                <c:pt idx="0">
                  <c:v>14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</c:numCache>
            </c:numRef>
          </c:xVal>
          <c:yVal>
            <c:numRef>
              <c:f>Sheet1!$H$42:$H$52</c:f>
              <c:numCache>
                <c:formatCode>General</c:formatCode>
                <c:ptCount val="11"/>
                <c:pt idx="0">
                  <c:v>0.97228999999999999</c:v>
                </c:pt>
                <c:pt idx="1">
                  <c:v>1.00552</c:v>
                </c:pt>
                <c:pt idx="2">
                  <c:v>1.02549</c:v>
                </c:pt>
                <c:pt idx="3">
                  <c:v>1.03454</c:v>
                </c:pt>
                <c:pt idx="4">
                  <c:v>1.03451</c:v>
                </c:pt>
                <c:pt idx="5">
                  <c:v>1.0269299999999999</c:v>
                </c:pt>
                <c:pt idx="6">
                  <c:v>1.0133000000000001</c:v>
                </c:pt>
                <c:pt idx="7">
                  <c:v>0.99485999999999997</c:v>
                </c:pt>
                <c:pt idx="8">
                  <c:v>0.97267000000000003</c:v>
                </c:pt>
                <c:pt idx="9">
                  <c:v>0.94721999999999995</c:v>
                </c:pt>
                <c:pt idx="10">
                  <c:v>0.91939000000000004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141-416A-AD9E-02BCA09A254F}"/>
            </c:ext>
          </c:extLst>
        </c:ser>
        <c:ser>
          <c:idx val="4"/>
          <c:order val="4"/>
          <c:tx>
            <c:v>1.03 line</c:v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Sheet1!$K$24:$K$25</c:f>
              <c:numCache>
                <c:formatCode>General</c:formatCode>
                <c:ptCount val="2"/>
              </c:numCache>
            </c:numRef>
          </c:xVal>
          <c:yVal>
            <c:numRef>
              <c:f>Sheet1!$L$24:$L$25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A80-42DD-A67E-4F5A755185E1}"/>
            </c:ext>
          </c:extLst>
        </c:ser>
        <c:ser>
          <c:idx val="5"/>
          <c:order val="5"/>
          <c:spPr>
            <a:ln w="9525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19050">
                <a:solidFill>
                  <a:srgbClr val="AD5DBC"/>
                </a:solidFill>
              </a:ln>
              <a:effectLst/>
            </c:spPr>
          </c:marker>
          <c:trendline>
            <c:spPr>
              <a:ln w="9525" cap="rnd">
                <a:solidFill>
                  <a:srgbClr val="AD5DBC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Sheet1!$F$54:$F$66</c:f>
              <c:numCache>
                <c:formatCode>General</c:formatCode>
                <c:ptCount val="13"/>
                <c:pt idx="0">
                  <c:v>14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</c:numCache>
            </c:numRef>
          </c:xVal>
          <c:yVal>
            <c:numRef>
              <c:f>Sheet1!$H$54:$H$66</c:f>
              <c:numCache>
                <c:formatCode>General</c:formatCode>
                <c:ptCount val="13"/>
                <c:pt idx="0">
                  <c:v>0.99070000000000003</c:v>
                </c:pt>
                <c:pt idx="1">
                  <c:v>1.0325800000000001</c:v>
                </c:pt>
                <c:pt idx="2">
                  <c:v>1.06219</c:v>
                </c:pt>
                <c:pt idx="3">
                  <c:v>1.0817099999999999</c:v>
                </c:pt>
                <c:pt idx="4">
                  <c:v>1.09256</c:v>
                </c:pt>
                <c:pt idx="5">
                  <c:v>1.09642</c:v>
                </c:pt>
                <c:pt idx="6">
                  <c:v>1.0943400000000001</c:v>
                </c:pt>
                <c:pt idx="7">
                  <c:v>1.08718</c:v>
                </c:pt>
                <c:pt idx="8">
                  <c:v>1.07606</c:v>
                </c:pt>
                <c:pt idx="9">
                  <c:v>1.0610900000000001</c:v>
                </c:pt>
                <c:pt idx="10">
                  <c:v>1.0434699999999999</c:v>
                </c:pt>
                <c:pt idx="11">
                  <c:v>1.02311</c:v>
                </c:pt>
                <c:pt idx="12">
                  <c:v>1.00098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80-42DD-A67E-4F5A755185E1}"/>
            </c:ext>
          </c:extLst>
        </c:ser>
        <c:ser>
          <c:idx val="6"/>
          <c:order val="6"/>
          <c:tx>
            <c:v>B8NU-SEG</c:v>
          </c:tx>
          <c:spPr>
            <a:ln w="25400" cap="rnd">
              <a:noFill/>
              <a:round/>
            </a:ln>
            <a:effectLst/>
          </c:spPr>
          <c:marker>
            <c:symbol val="plus"/>
            <c:size val="5"/>
            <c:spPr>
              <a:noFill/>
              <a:ln w="19050">
                <a:solidFill>
                  <a:srgbClr val="F38527"/>
                </a:solidFill>
              </a:ln>
              <a:effectLst/>
            </c:spPr>
          </c:marker>
          <c:trendline>
            <c:spPr>
              <a:ln w="9525" cap="rnd">
                <a:solidFill>
                  <a:srgbClr val="F38527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Sheet1!$F$68:$F$78</c:f>
              <c:numCache>
                <c:formatCode>General</c:formatCode>
                <c:ptCount val="11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22</c:v>
                </c:pt>
              </c:numCache>
            </c:numRef>
          </c:xVal>
          <c:yVal>
            <c:numRef>
              <c:f>Sheet1!$H$68:$H$78</c:f>
              <c:numCache>
                <c:formatCode>General</c:formatCode>
                <c:ptCount val="11"/>
                <c:pt idx="0">
                  <c:v>0.83423999999999998</c:v>
                </c:pt>
                <c:pt idx="1">
                  <c:v>0.89614000000000005</c:v>
                </c:pt>
                <c:pt idx="2">
                  <c:v>0.93979000000000001</c:v>
                </c:pt>
                <c:pt idx="3">
                  <c:v>0.96750000000000003</c:v>
                </c:pt>
                <c:pt idx="4">
                  <c:v>0.98211000000000004</c:v>
                </c:pt>
                <c:pt idx="5">
                  <c:v>0.98540000000000005</c:v>
                </c:pt>
                <c:pt idx="6">
                  <c:v>0.98006000000000004</c:v>
                </c:pt>
                <c:pt idx="7">
                  <c:v>0.96731</c:v>
                </c:pt>
                <c:pt idx="8">
                  <c:v>0.94891999999999999</c:v>
                </c:pt>
                <c:pt idx="9">
                  <c:v>0.92556000000000005</c:v>
                </c:pt>
                <c:pt idx="10">
                  <c:v>0.89922999999999997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7F-47C2-8670-96B1A3970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541711"/>
        <c:axId val="899546031"/>
      </c:scatterChart>
      <c:valAx>
        <c:axId val="899541711"/>
        <c:scaling>
          <c:orientation val="minMax"/>
          <c:max val="26"/>
          <c:min val="1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Pitch [cm]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9546031"/>
        <c:crosses val="autoZero"/>
        <c:crossBetween val="midCat"/>
        <c:majorUnit val="1"/>
        <c:minorUnit val="1"/>
      </c:valAx>
      <c:valAx>
        <c:axId val="899546031"/>
        <c:scaling>
          <c:orientation val="minMax"/>
          <c:max val="1.1100000000000001"/>
          <c:min val="0.95000000000000007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Infinite multiplication [k_inf]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out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9541711"/>
        <c:crosses val="autoZero"/>
        <c:crossBetween val="midCat"/>
        <c:majorUnit val="2.0000000000000004E-2"/>
        <c:minorUnit val="1.0000000000000002E-2"/>
      </c:valAx>
      <c:spPr>
        <a:noFill/>
        <a:ln w="9525"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351834</xdr:colOff>
      <xdr:row>1</xdr:row>
      <xdr:rowOff>19970</xdr:rowOff>
    </xdr:from>
    <xdr:to>
      <xdr:col>14</xdr:col>
      <xdr:colOff>351834</xdr:colOff>
      <xdr:row>16</xdr:row>
      <xdr:rowOff>4203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32B308-AEB5-A106-305B-7FF3233DA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zoomScale="145" zoomScaleNormal="145" workbookViewId="0">
      <selection activeCell="M23" sqref="M23"/>
    </sheetView>
  </sheetViews>
  <sheetFormatPr defaultRowHeight="14.4" x14ac:dyDescent="0.3"/>
  <cols>
    <col min="1" max="1" width="53.5546875" customWidth="1"/>
    <col min="3" max="3" width="9" customWidth="1"/>
    <col min="5" max="5" width="9" customWidth="1"/>
    <col min="6" max="6" width="6.6640625" customWidth="1"/>
    <col min="7" max="7" width="9.88671875" customWidth="1"/>
  </cols>
  <sheetData>
    <row r="1" spans="1:9" x14ac:dyDescent="0.3">
      <c r="A1" s="1" t="s">
        <v>0</v>
      </c>
      <c r="B1" s="1" t="s">
        <v>61</v>
      </c>
      <c r="C1" s="1" t="s">
        <v>60</v>
      </c>
      <c r="D1" s="1" t="s">
        <v>62</v>
      </c>
      <c r="E1" s="1" t="s">
        <v>60</v>
      </c>
      <c r="F1" s="1" t="s">
        <v>3</v>
      </c>
      <c r="G1" s="1" t="s">
        <v>15</v>
      </c>
      <c r="H1" s="1" t="s">
        <v>1</v>
      </c>
      <c r="I1" s="1" t="s">
        <v>2</v>
      </c>
    </row>
    <row r="2" spans="1:9" x14ac:dyDescent="0.3">
      <c r="A2" t="s">
        <v>16</v>
      </c>
      <c r="B2">
        <v>18.5349</v>
      </c>
      <c r="C2" s="3">
        <v>7</v>
      </c>
      <c r="D2" s="2">
        <v>1.6</v>
      </c>
      <c r="E2">
        <v>1.4</v>
      </c>
      <c r="F2">
        <v>14</v>
      </c>
      <c r="G2" s="2">
        <f>((F2^3)-(5^3))/(5^3)</f>
        <v>20.952000000000002</v>
      </c>
      <c r="H2">
        <v>0.96362999999999999</v>
      </c>
    </row>
    <row r="3" spans="1:9" x14ac:dyDescent="0.3">
      <c r="A3" t="s">
        <v>17</v>
      </c>
      <c r="B3">
        <v>18.5349</v>
      </c>
      <c r="C3" s="3">
        <v>7</v>
      </c>
      <c r="D3" s="2">
        <v>1.6</v>
      </c>
      <c r="E3">
        <v>1.4</v>
      </c>
      <c r="F3">
        <v>15</v>
      </c>
      <c r="G3" s="2">
        <f t="shared" ref="G3:G64" si="0">((F3^3)-(5^3))/(5^3)</f>
        <v>26</v>
      </c>
      <c r="H3">
        <v>1.0035099999999999</v>
      </c>
    </row>
    <row r="4" spans="1:9" x14ac:dyDescent="0.3">
      <c r="A4" t="s">
        <v>18</v>
      </c>
      <c r="B4">
        <v>18.5349</v>
      </c>
      <c r="C4" s="3">
        <v>7</v>
      </c>
      <c r="D4" s="2">
        <v>1.6</v>
      </c>
      <c r="E4">
        <v>1.4</v>
      </c>
      <c r="F4">
        <v>16</v>
      </c>
      <c r="G4" s="2">
        <f t="shared" si="0"/>
        <v>31.768000000000001</v>
      </c>
      <c r="H4">
        <v>1.03057</v>
      </c>
    </row>
    <row r="5" spans="1:9" x14ac:dyDescent="0.3">
      <c r="A5" t="s">
        <v>19</v>
      </c>
      <c r="B5">
        <v>18.5349</v>
      </c>
      <c r="C5" s="3">
        <v>7</v>
      </c>
      <c r="D5" s="2">
        <v>1.6</v>
      </c>
      <c r="E5">
        <v>1.4</v>
      </c>
      <c r="F5">
        <v>17</v>
      </c>
      <c r="G5" s="2">
        <f t="shared" si="0"/>
        <v>38.304000000000002</v>
      </c>
      <c r="H5">
        <v>1.04864</v>
      </c>
    </row>
    <row r="6" spans="1:9" x14ac:dyDescent="0.3">
      <c r="A6" t="s">
        <v>20</v>
      </c>
      <c r="B6">
        <v>18.5349</v>
      </c>
      <c r="C6" s="3">
        <v>7</v>
      </c>
      <c r="D6" s="2">
        <v>1.6</v>
      </c>
      <c r="E6">
        <v>1.4</v>
      </c>
      <c r="F6">
        <v>18</v>
      </c>
      <c r="G6" s="2">
        <f t="shared" si="0"/>
        <v>45.655999999999999</v>
      </c>
      <c r="H6">
        <v>1.05691</v>
      </c>
    </row>
    <row r="7" spans="1:9" x14ac:dyDescent="0.3">
      <c r="A7" t="s">
        <v>21</v>
      </c>
      <c r="B7">
        <v>18.5349</v>
      </c>
      <c r="C7" s="3">
        <v>7</v>
      </c>
      <c r="D7" s="2">
        <v>1.6</v>
      </c>
      <c r="E7">
        <v>1.4</v>
      </c>
      <c r="F7">
        <v>19</v>
      </c>
      <c r="G7" s="2">
        <f t="shared" si="0"/>
        <v>53.872</v>
      </c>
      <c r="H7">
        <v>1.0579000000000001</v>
      </c>
    </row>
    <row r="8" spans="1:9" x14ac:dyDescent="0.3">
      <c r="A8" t="s">
        <v>22</v>
      </c>
      <c r="B8">
        <v>18.5349</v>
      </c>
      <c r="C8" s="3">
        <v>7</v>
      </c>
      <c r="D8" s="2">
        <v>1.6</v>
      </c>
      <c r="E8">
        <v>1.4</v>
      </c>
      <c r="F8">
        <v>20</v>
      </c>
      <c r="G8" s="2">
        <f t="shared" si="0"/>
        <v>63</v>
      </c>
      <c r="H8">
        <v>1.05308</v>
      </c>
    </row>
    <row r="9" spans="1:9" x14ac:dyDescent="0.3">
      <c r="A9" t="s">
        <v>23</v>
      </c>
      <c r="B9">
        <v>18.5349</v>
      </c>
      <c r="C9" s="3">
        <v>7</v>
      </c>
      <c r="D9" s="2">
        <v>1.6</v>
      </c>
      <c r="E9">
        <v>1.4</v>
      </c>
      <c r="F9">
        <v>21</v>
      </c>
      <c r="G9" s="2">
        <f t="shared" si="0"/>
        <v>73.087999999999994</v>
      </c>
      <c r="H9">
        <v>1.0433600000000001</v>
      </c>
    </row>
    <row r="10" spans="1:9" x14ac:dyDescent="0.3">
      <c r="A10" t="s">
        <v>24</v>
      </c>
      <c r="B10">
        <v>18.5349</v>
      </c>
      <c r="C10" s="3">
        <v>7</v>
      </c>
      <c r="D10" s="2">
        <v>1.6</v>
      </c>
      <c r="E10">
        <v>1.4</v>
      </c>
      <c r="F10">
        <v>22</v>
      </c>
      <c r="G10" s="2">
        <f t="shared" si="0"/>
        <v>84.183999999999997</v>
      </c>
      <c r="H10">
        <v>1.0287299999999999</v>
      </c>
    </row>
    <row r="11" spans="1:9" x14ac:dyDescent="0.3">
      <c r="A11" t="s">
        <v>25</v>
      </c>
      <c r="B11">
        <v>18.5349</v>
      </c>
      <c r="C11" s="3">
        <v>7</v>
      </c>
      <c r="D11" s="2">
        <v>1.6</v>
      </c>
      <c r="E11">
        <v>1.4</v>
      </c>
      <c r="F11">
        <v>23</v>
      </c>
      <c r="G11" s="2">
        <f t="shared" si="0"/>
        <v>96.335999999999999</v>
      </c>
      <c r="H11">
        <v>1.0114099999999999</v>
      </c>
    </row>
    <row r="12" spans="1:9" x14ac:dyDescent="0.3">
      <c r="A12" t="s">
        <v>26</v>
      </c>
      <c r="B12">
        <v>18.5349</v>
      </c>
      <c r="C12" s="3">
        <v>7</v>
      </c>
      <c r="D12" s="2">
        <v>1.6</v>
      </c>
      <c r="E12">
        <v>1.4</v>
      </c>
      <c r="F12">
        <v>24</v>
      </c>
      <c r="G12" s="2">
        <f t="shared" si="0"/>
        <v>109.592</v>
      </c>
      <c r="H12">
        <v>0.99102000000000001</v>
      </c>
    </row>
    <row r="13" spans="1:9" x14ac:dyDescent="0.3">
      <c r="A13" t="s">
        <v>78</v>
      </c>
      <c r="B13">
        <v>18.5349</v>
      </c>
      <c r="C13" s="3">
        <v>7</v>
      </c>
      <c r="D13" s="2">
        <v>1.6</v>
      </c>
      <c r="E13">
        <v>1.4</v>
      </c>
      <c r="F13">
        <v>25</v>
      </c>
      <c r="G13" s="2">
        <f>((F13^3)-(5^3))/(5^3)</f>
        <v>124</v>
      </c>
      <c r="H13">
        <v>0.96836</v>
      </c>
    </row>
    <row r="14" spans="1:9" x14ac:dyDescent="0.3">
      <c r="A14" t="s">
        <v>79</v>
      </c>
      <c r="B14">
        <v>18.5349</v>
      </c>
      <c r="C14" s="3">
        <v>7</v>
      </c>
      <c r="D14" s="2">
        <v>1.6</v>
      </c>
      <c r="E14">
        <v>1.4</v>
      </c>
      <c r="F14">
        <v>26</v>
      </c>
      <c r="G14" s="2">
        <f t="shared" ref="G14" si="1">((F14^3)-(5^3))/(5^3)</f>
        <v>139.608</v>
      </c>
      <c r="H14">
        <v>0.94374999999999998</v>
      </c>
    </row>
    <row r="15" spans="1:9" x14ac:dyDescent="0.3">
      <c r="G15" s="2"/>
    </row>
    <row r="16" spans="1:9" x14ac:dyDescent="0.3">
      <c r="A16" t="s">
        <v>27</v>
      </c>
      <c r="B16">
        <v>18.5349</v>
      </c>
      <c r="C16" s="3">
        <v>7</v>
      </c>
      <c r="D16" s="2">
        <v>1.7</v>
      </c>
      <c r="E16">
        <v>3.4</v>
      </c>
      <c r="F16">
        <v>14</v>
      </c>
      <c r="G16" s="2">
        <f t="shared" si="0"/>
        <v>20.952000000000002</v>
      </c>
      <c r="H16">
        <v>0.96059000000000005</v>
      </c>
    </row>
    <row r="17" spans="1:8" x14ac:dyDescent="0.3">
      <c r="A17" t="s">
        <v>28</v>
      </c>
      <c r="B17">
        <v>18.5349</v>
      </c>
      <c r="C17" s="3">
        <v>7</v>
      </c>
      <c r="D17" s="2">
        <v>1.7</v>
      </c>
      <c r="E17">
        <v>3.4</v>
      </c>
      <c r="F17">
        <v>15</v>
      </c>
      <c r="G17" s="2">
        <f t="shared" si="0"/>
        <v>26</v>
      </c>
      <c r="H17">
        <v>0.99246999999999996</v>
      </c>
    </row>
    <row r="18" spans="1:8" x14ac:dyDescent="0.3">
      <c r="A18" t="s">
        <v>29</v>
      </c>
      <c r="B18">
        <v>18.5349</v>
      </c>
      <c r="C18" s="3">
        <v>7</v>
      </c>
      <c r="D18" s="2">
        <v>1.7</v>
      </c>
      <c r="E18">
        <v>3.4</v>
      </c>
      <c r="F18">
        <v>16</v>
      </c>
      <c r="G18" s="2">
        <f t="shared" si="0"/>
        <v>31.768000000000001</v>
      </c>
      <c r="H18">
        <v>1.0120199999999999</v>
      </c>
    </row>
    <row r="19" spans="1:8" x14ac:dyDescent="0.3">
      <c r="A19" t="s">
        <v>30</v>
      </c>
      <c r="B19">
        <v>18.5349</v>
      </c>
      <c r="C19" s="3">
        <v>7</v>
      </c>
      <c r="D19" s="2">
        <v>1.7</v>
      </c>
      <c r="E19">
        <v>3.4</v>
      </c>
      <c r="F19">
        <v>17</v>
      </c>
      <c r="G19" s="2">
        <f t="shared" si="0"/>
        <v>38.304000000000002</v>
      </c>
      <c r="H19">
        <v>1.0200499999999999</v>
      </c>
    </row>
    <row r="20" spans="1:8" x14ac:dyDescent="0.3">
      <c r="A20" t="s">
        <v>31</v>
      </c>
      <c r="B20">
        <v>18.5349</v>
      </c>
      <c r="C20" s="3">
        <v>7</v>
      </c>
      <c r="D20" s="2">
        <v>1.7</v>
      </c>
      <c r="E20">
        <v>3.4</v>
      </c>
      <c r="F20">
        <v>18</v>
      </c>
      <c r="G20" s="2">
        <f t="shared" si="0"/>
        <v>45.655999999999999</v>
      </c>
      <c r="H20">
        <v>1.01922</v>
      </c>
    </row>
    <row r="21" spans="1:8" x14ac:dyDescent="0.3">
      <c r="A21" t="s">
        <v>32</v>
      </c>
      <c r="B21">
        <v>18.5349</v>
      </c>
      <c r="C21" s="3">
        <v>7</v>
      </c>
      <c r="D21" s="2">
        <v>1.7</v>
      </c>
      <c r="E21">
        <v>3.4</v>
      </c>
      <c r="F21">
        <v>19</v>
      </c>
      <c r="G21" s="2">
        <f t="shared" si="0"/>
        <v>53.872</v>
      </c>
      <c r="H21">
        <v>1.01197</v>
      </c>
    </row>
    <row r="22" spans="1:8" x14ac:dyDescent="0.3">
      <c r="A22" t="s">
        <v>33</v>
      </c>
      <c r="B22">
        <v>18.5349</v>
      </c>
      <c r="C22" s="3">
        <v>7</v>
      </c>
      <c r="D22" s="2">
        <v>1.7</v>
      </c>
      <c r="E22">
        <v>3.4</v>
      </c>
      <c r="F22">
        <v>20</v>
      </c>
      <c r="G22" s="2">
        <f t="shared" si="0"/>
        <v>63</v>
      </c>
      <c r="H22">
        <v>0.99856</v>
      </c>
    </row>
    <row r="23" spans="1:8" x14ac:dyDescent="0.3">
      <c r="A23" t="s">
        <v>34</v>
      </c>
      <c r="B23">
        <v>18.5349</v>
      </c>
      <c r="C23" s="3">
        <v>7</v>
      </c>
      <c r="D23" s="2">
        <v>1.7</v>
      </c>
      <c r="E23">
        <v>3.4</v>
      </c>
      <c r="F23">
        <v>21</v>
      </c>
      <c r="G23" s="2">
        <f t="shared" si="0"/>
        <v>73.087999999999994</v>
      </c>
      <c r="H23">
        <v>0.97972999999999999</v>
      </c>
    </row>
    <row r="24" spans="1:8" x14ac:dyDescent="0.3">
      <c r="A24" t="s">
        <v>35</v>
      </c>
      <c r="B24">
        <v>18.5349</v>
      </c>
      <c r="C24" s="3">
        <v>7</v>
      </c>
      <c r="D24" s="2">
        <v>1.7</v>
      </c>
      <c r="E24">
        <v>3.4</v>
      </c>
      <c r="F24">
        <v>22</v>
      </c>
      <c r="G24" s="2">
        <f t="shared" si="0"/>
        <v>84.183999999999997</v>
      </c>
      <c r="H24">
        <v>0.95721000000000001</v>
      </c>
    </row>
    <row r="25" spans="1:8" x14ac:dyDescent="0.3">
      <c r="A25" t="s">
        <v>36</v>
      </c>
      <c r="B25">
        <v>18.5349</v>
      </c>
      <c r="C25" s="3">
        <v>7</v>
      </c>
      <c r="D25" s="2">
        <v>1.7</v>
      </c>
      <c r="E25">
        <v>3.4</v>
      </c>
      <c r="F25">
        <v>23</v>
      </c>
      <c r="G25" s="2">
        <f t="shared" si="0"/>
        <v>96.335999999999999</v>
      </c>
      <c r="H25">
        <v>0.93257000000000001</v>
      </c>
    </row>
    <row r="26" spans="1:8" x14ac:dyDescent="0.3">
      <c r="A26" t="s">
        <v>37</v>
      </c>
      <c r="B26">
        <v>18.5349</v>
      </c>
      <c r="C26" s="3">
        <v>7</v>
      </c>
      <c r="D26" s="2">
        <v>1.7</v>
      </c>
      <c r="E26">
        <v>3.4</v>
      </c>
      <c r="F26">
        <v>24</v>
      </c>
      <c r="G26" s="2">
        <f t="shared" si="0"/>
        <v>109.592</v>
      </c>
      <c r="H26">
        <v>0.90500000000000003</v>
      </c>
    </row>
    <row r="27" spans="1:8" x14ac:dyDescent="0.3">
      <c r="D27" s="2"/>
      <c r="G27" s="2"/>
    </row>
    <row r="28" spans="1:8" x14ac:dyDescent="0.3">
      <c r="A28" t="s">
        <v>38</v>
      </c>
      <c r="B28">
        <v>19.010000000000002</v>
      </c>
      <c r="C28" s="3">
        <v>0</v>
      </c>
      <c r="D28" s="2">
        <v>1.6</v>
      </c>
      <c r="E28">
        <v>1.4</v>
      </c>
      <c r="F28">
        <v>14</v>
      </c>
      <c r="G28" s="2">
        <f t="shared" si="0"/>
        <v>20.952000000000002</v>
      </c>
      <c r="H28">
        <v>0.97521999999999998</v>
      </c>
    </row>
    <row r="29" spans="1:8" x14ac:dyDescent="0.3">
      <c r="A29" t="s">
        <v>39</v>
      </c>
      <c r="B29">
        <v>19.010000000000002</v>
      </c>
      <c r="C29" s="3">
        <v>0</v>
      </c>
      <c r="D29" s="2">
        <v>1.6</v>
      </c>
      <c r="E29">
        <v>1.4</v>
      </c>
      <c r="F29">
        <v>15</v>
      </c>
      <c r="G29" s="2">
        <f t="shared" si="0"/>
        <v>26</v>
      </c>
      <c r="H29">
        <v>1.0164299999999999</v>
      </c>
    </row>
    <row r="30" spans="1:8" x14ac:dyDescent="0.3">
      <c r="A30" t="s">
        <v>40</v>
      </c>
      <c r="B30">
        <v>19.010000000000002</v>
      </c>
      <c r="C30" s="3">
        <v>0</v>
      </c>
      <c r="D30" s="2">
        <v>1.6</v>
      </c>
      <c r="E30">
        <v>1.4</v>
      </c>
      <c r="F30">
        <v>16</v>
      </c>
      <c r="G30" s="2">
        <f t="shared" si="0"/>
        <v>31.768000000000001</v>
      </c>
      <c r="H30">
        <v>1.0458700000000001</v>
      </c>
    </row>
    <row r="31" spans="1:8" x14ac:dyDescent="0.3">
      <c r="A31" t="s">
        <v>41</v>
      </c>
      <c r="B31">
        <v>19.010000000000002</v>
      </c>
      <c r="C31" s="3">
        <v>0</v>
      </c>
      <c r="D31" s="2">
        <v>1.6</v>
      </c>
      <c r="E31">
        <v>1.4</v>
      </c>
      <c r="F31">
        <v>17</v>
      </c>
      <c r="G31" s="2">
        <f t="shared" si="0"/>
        <v>38.304000000000002</v>
      </c>
      <c r="H31">
        <v>1.0630500000000001</v>
      </c>
    </row>
    <row r="32" spans="1:8" x14ac:dyDescent="0.3">
      <c r="A32" t="s">
        <v>42</v>
      </c>
      <c r="B32">
        <v>19.010000000000002</v>
      </c>
      <c r="C32" s="3">
        <v>0</v>
      </c>
      <c r="D32" s="2">
        <v>1.6</v>
      </c>
      <c r="E32">
        <v>1.4</v>
      </c>
      <c r="F32">
        <v>18</v>
      </c>
      <c r="G32" s="2">
        <f t="shared" si="0"/>
        <v>45.655999999999999</v>
      </c>
      <c r="H32">
        <v>1.0724400000000001</v>
      </c>
    </row>
    <row r="33" spans="1:8" x14ac:dyDescent="0.3">
      <c r="A33" t="s">
        <v>43</v>
      </c>
      <c r="B33">
        <v>19.010000000000002</v>
      </c>
      <c r="C33" s="3">
        <v>0</v>
      </c>
      <c r="D33" s="2">
        <v>1.6</v>
      </c>
      <c r="E33">
        <v>1.4</v>
      </c>
      <c r="F33">
        <v>19</v>
      </c>
      <c r="G33" s="2">
        <f t="shared" si="0"/>
        <v>53.872</v>
      </c>
      <c r="H33">
        <v>1.0734300000000001</v>
      </c>
    </row>
    <row r="34" spans="1:8" x14ac:dyDescent="0.3">
      <c r="A34" t="s">
        <v>44</v>
      </c>
      <c r="B34">
        <v>19.010000000000002</v>
      </c>
      <c r="C34" s="3">
        <v>0</v>
      </c>
      <c r="D34" s="2">
        <v>1.6</v>
      </c>
      <c r="E34">
        <v>1.4</v>
      </c>
      <c r="F34">
        <v>20</v>
      </c>
      <c r="G34" s="2">
        <f t="shared" si="0"/>
        <v>63</v>
      </c>
      <c r="H34">
        <v>1.0687</v>
      </c>
    </row>
    <row r="35" spans="1:8" x14ac:dyDescent="0.3">
      <c r="A35" t="s">
        <v>45</v>
      </c>
      <c r="B35">
        <v>19.010000000000002</v>
      </c>
      <c r="C35" s="3">
        <v>0</v>
      </c>
      <c r="D35" s="2">
        <v>1.6</v>
      </c>
      <c r="E35">
        <v>1.4</v>
      </c>
      <c r="F35">
        <v>21</v>
      </c>
      <c r="G35" s="2">
        <f t="shared" si="0"/>
        <v>73.087999999999994</v>
      </c>
      <c r="H35">
        <v>1.0589999999999999</v>
      </c>
    </row>
    <row r="36" spans="1:8" x14ac:dyDescent="0.3">
      <c r="A36" t="s">
        <v>46</v>
      </c>
      <c r="B36">
        <v>19.010000000000002</v>
      </c>
      <c r="C36" s="3">
        <v>0</v>
      </c>
      <c r="D36" s="2">
        <v>1.6</v>
      </c>
      <c r="E36">
        <v>1.4</v>
      </c>
      <c r="F36">
        <v>22</v>
      </c>
      <c r="G36" s="2">
        <f t="shared" si="0"/>
        <v>84.183999999999997</v>
      </c>
      <c r="H36">
        <v>1.04487</v>
      </c>
    </row>
    <row r="37" spans="1:8" x14ac:dyDescent="0.3">
      <c r="A37" t="s">
        <v>47</v>
      </c>
      <c r="B37">
        <v>19.010000000000002</v>
      </c>
      <c r="C37" s="3">
        <v>0</v>
      </c>
      <c r="D37" s="2">
        <v>1.6</v>
      </c>
      <c r="E37">
        <v>1.4</v>
      </c>
      <c r="F37">
        <v>23</v>
      </c>
      <c r="G37" s="2">
        <f t="shared" si="0"/>
        <v>96.335999999999999</v>
      </c>
      <c r="H37">
        <v>1.0271600000000001</v>
      </c>
    </row>
    <row r="38" spans="1:8" x14ac:dyDescent="0.3">
      <c r="A38" t="s">
        <v>48</v>
      </c>
      <c r="B38">
        <v>19.010000000000002</v>
      </c>
      <c r="C38" s="3">
        <v>0</v>
      </c>
      <c r="D38" s="2">
        <v>1.6</v>
      </c>
      <c r="E38">
        <v>1.4</v>
      </c>
      <c r="F38">
        <v>24</v>
      </c>
      <c r="G38" s="2">
        <f t="shared" si="0"/>
        <v>109.592</v>
      </c>
      <c r="H38">
        <v>1.00644</v>
      </c>
    </row>
    <row r="39" spans="1:8" x14ac:dyDescent="0.3">
      <c r="A39" t="s">
        <v>65</v>
      </c>
      <c r="B39">
        <v>19.010000000000002</v>
      </c>
      <c r="C39" s="3">
        <v>0</v>
      </c>
      <c r="D39" s="2">
        <v>1.6</v>
      </c>
      <c r="E39">
        <v>1.4</v>
      </c>
      <c r="F39">
        <v>25</v>
      </c>
      <c r="G39" s="2">
        <f t="shared" ref="G39:G40" si="2">((F39^3)-(5^3))/(5^3)</f>
        <v>124</v>
      </c>
      <c r="H39">
        <v>0.98375000000000001</v>
      </c>
    </row>
    <row r="40" spans="1:8" x14ac:dyDescent="0.3">
      <c r="A40" t="s">
        <v>66</v>
      </c>
      <c r="B40">
        <v>19.010000000000002</v>
      </c>
      <c r="C40" s="3">
        <v>0</v>
      </c>
      <c r="D40" s="2">
        <v>1.6</v>
      </c>
      <c r="E40">
        <v>1.4</v>
      </c>
      <c r="F40">
        <v>26</v>
      </c>
      <c r="G40" s="2">
        <f t="shared" si="2"/>
        <v>139.608</v>
      </c>
      <c r="H40">
        <v>0.95835999999999999</v>
      </c>
    </row>
    <row r="41" spans="1:8" x14ac:dyDescent="0.3">
      <c r="D41" s="2"/>
    </row>
    <row r="42" spans="1:8" x14ac:dyDescent="0.3">
      <c r="A42" t="s">
        <v>49</v>
      </c>
      <c r="B42">
        <v>19.010000000000002</v>
      </c>
      <c r="C42" s="3">
        <v>0</v>
      </c>
      <c r="D42" s="2">
        <v>1.7</v>
      </c>
      <c r="E42">
        <v>3.4</v>
      </c>
      <c r="F42">
        <v>14</v>
      </c>
      <c r="G42" s="2">
        <f t="shared" si="0"/>
        <v>20.952000000000002</v>
      </c>
      <c r="H42">
        <v>0.97228999999999999</v>
      </c>
    </row>
    <row r="43" spans="1:8" x14ac:dyDescent="0.3">
      <c r="A43" t="s">
        <v>50</v>
      </c>
      <c r="B43">
        <v>19.010000000000002</v>
      </c>
      <c r="C43" s="3">
        <v>0</v>
      </c>
      <c r="D43" s="2">
        <v>1.7</v>
      </c>
      <c r="E43">
        <v>3.4</v>
      </c>
      <c r="F43">
        <v>15</v>
      </c>
      <c r="G43" s="2">
        <f t="shared" si="0"/>
        <v>26</v>
      </c>
      <c r="H43">
        <v>1.00552</v>
      </c>
    </row>
    <row r="44" spans="1:8" x14ac:dyDescent="0.3">
      <c r="A44" t="s">
        <v>51</v>
      </c>
      <c r="B44">
        <v>19.010000000000002</v>
      </c>
      <c r="C44" s="3">
        <v>0</v>
      </c>
      <c r="D44" s="2">
        <v>1.7</v>
      </c>
      <c r="E44">
        <v>3.4</v>
      </c>
      <c r="F44">
        <v>16</v>
      </c>
      <c r="G44" s="2">
        <f t="shared" si="0"/>
        <v>31.768000000000001</v>
      </c>
      <c r="H44">
        <v>1.02549</v>
      </c>
    </row>
    <row r="45" spans="1:8" x14ac:dyDescent="0.3">
      <c r="A45" t="s">
        <v>52</v>
      </c>
      <c r="B45">
        <v>19.010000000000002</v>
      </c>
      <c r="C45" s="3">
        <v>0</v>
      </c>
      <c r="D45" s="2">
        <v>1.7</v>
      </c>
      <c r="E45">
        <v>3.4</v>
      </c>
      <c r="F45">
        <v>17</v>
      </c>
      <c r="G45" s="2">
        <f t="shared" si="0"/>
        <v>38.304000000000002</v>
      </c>
      <c r="H45">
        <v>1.03454</v>
      </c>
    </row>
    <row r="46" spans="1:8" x14ac:dyDescent="0.3">
      <c r="A46" t="s">
        <v>53</v>
      </c>
      <c r="B46">
        <v>19.010000000000002</v>
      </c>
      <c r="C46" s="3">
        <v>0</v>
      </c>
      <c r="D46" s="2">
        <v>1.7</v>
      </c>
      <c r="E46">
        <v>3.4</v>
      </c>
      <c r="F46">
        <v>18</v>
      </c>
      <c r="G46" s="2">
        <f t="shared" si="0"/>
        <v>45.655999999999999</v>
      </c>
      <c r="H46">
        <v>1.03451</v>
      </c>
    </row>
    <row r="47" spans="1:8" x14ac:dyDescent="0.3">
      <c r="A47" t="s">
        <v>54</v>
      </c>
      <c r="B47">
        <v>19.010000000000002</v>
      </c>
      <c r="C47" s="3">
        <v>0</v>
      </c>
      <c r="D47" s="2">
        <v>1.7</v>
      </c>
      <c r="E47">
        <v>3.4</v>
      </c>
      <c r="F47">
        <v>19</v>
      </c>
      <c r="G47" s="2">
        <f t="shared" si="0"/>
        <v>53.872</v>
      </c>
      <c r="H47">
        <v>1.0269299999999999</v>
      </c>
    </row>
    <row r="48" spans="1:8" x14ac:dyDescent="0.3">
      <c r="A48" t="s">
        <v>55</v>
      </c>
      <c r="B48">
        <v>19.010000000000002</v>
      </c>
      <c r="C48" s="3">
        <v>0</v>
      </c>
      <c r="D48" s="2">
        <v>1.7</v>
      </c>
      <c r="E48">
        <v>3.4</v>
      </c>
      <c r="F48">
        <v>20</v>
      </c>
      <c r="G48" s="2">
        <f t="shared" si="0"/>
        <v>63</v>
      </c>
      <c r="H48">
        <v>1.0133000000000001</v>
      </c>
    </row>
    <row r="49" spans="1:8" x14ac:dyDescent="0.3">
      <c r="A49" t="s">
        <v>56</v>
      </c>
      <c r="B49">
        <v>19.010000000000002</v>
      </c>
      <c r="C49" s="3">
        <v>0</v>
      </c>
      <c r="D49" s="2">
        <v>1.7</v>
      </c>
      <c r="E49">
        <v>3.4</v>
      </c>
      <c r="F49">
        <v>21</v>
      </c>
      <c r="G49" s="2">
        <f t="shared" si="0"/>
        <v>73.087999999999994</v>
      </c>
      <c r="H49">
        <v>0.99485999999999997</v>
      </c>
    </row>
    <row r="50" spans="1:8" x14ac:dyDescent="0.3">
      <c r="A50" t="s">
        <v>57</v>
      </c>
      <c r="B50">
        <v>19.010000000000002</v>
      </c>
      <c r="C50" s="3">
        <v>0</v>
      </c>
      <c r="D50" s="2">
        <v>1.7</v>
      </c>
      <c r="E50">
        <v>3.4</v>
      </c>
      <c r="F50">
        <v>22</v>
      </c>
      <c r="G50" s="2">
        <f t="shared" si="0"/>
        <v>84.183999999999997</v>
      </c>
      <c r="H50">
        <v>0.97267000000000003</v>
      </c>
    </row>
    <row r="51" spans="1:8" x14ac:dyDescent="0.3">
      <c r="A51" t="s">
        <v>58</v>
      </c>
      <c r="B51">
        <v>19.010000000000002</v>
      </c>
      <c r="C51" s="3">
        <v>0</v>
      </c>
      <c r="D51" s="2">
        <v>1.7</v>
      </c>
      <c r="E51">
        <v>3.4</v>
      </c>
      <c r="F51">
        <v>23</v>
      </c>
      <c r="G51" s="2">
        <f t="shared" si="0"/>
        <v>96.335999999999999</v>
      </c>
      <c r="H51">
        <v>0.94721999999999995</v>
      </c>
    </row>
    <row r="52" spans="1:8" x14ac:dyDescent="0.3">
      <c r="A52" t="s">
        <v>59</v>
      </c>
      <c r="B52">
        <v>19.010000000000002</v>
      </c>
      <c r="C52" s="3">
        <v>0</v>
      </c>
      <c r="D52" s="2">
        <v>1.7</v>
      </c>
      <c r="E52">
        <v>3.4</v>
      </c>
      <c r="F52">
        <v>24</v>
      </c>
      <c r="G52" s="2">
        <f t="shared" si="0"/>
        <v>109.592</v>
      </c>
      <c r="H52">
        <v>0.91939000000000004</v>
      </c>
    </row>
    <row r="53" spans="1:8" x14ac:dyDescent="0.3">
      <c r="D53" s="2"/>
      <c r="G53" s="2"/>
    </row>
    <row r="54" spans="1:8" x14ac:dyDescent="0.3">
      <c r="A54" t="s">
        <v>4</v>
      </c>
      <c r="B54">
        <v>19.010000000000002</v>
      </c>
      <c r="C54" s="3">
        <v>0</v>
      </c>
      <c r="D54" s="2">
        <v>1.7</v>
      </c>
      <c r="E54" s="3">
        <v>0</v>
      </c>
      <c r="F54">
        <v>14</v>
      </c>
      <c r="G54" s="2">
        <f t="shared" si="0"/>
        <v>20.952000000000002</v>
      </c>
      <c r="H54">
        <v>0.99070000000000003</v>
      </c>
    </row>
    <row r="55" spans="1:8" x14ac:dyDescent="0.3">
      <c r="A55" t="s">
        <v>5</v>
      </c>
      <c r="B55">
        <v>19.010000000000002</v>
      </c>
      <c r="C55" s="3">
        <v>0</v>
      </c>
      <c r="D55" s="2">
        <v>1.7</v>
      </c>
      <c r="E55" s="3">
        <v>0</v>
      </c>
      <c r="F55">
        <v>15</v>
      </c>
      <c r="G55" s="2">
        <f t="shared" si="0"/>
        <v>26</v>
      </c>
      <c r="H55">
        <v>1.0325800000000001</v>
      </c>
    </row>
    <row r="56" spans="1:8" x14ac:dyDescent="0.3">
      <c r="A56" t="s">
        <v>6</v>
      </c>
      <c r="B56">
        <v>19.010000000000002</v>
      </c>
      <c r="C56" s="3">
        <v>0</v>
      </c>
      <c r="D56" s="2">
        <v>1.7</v>
      </c>
      <c r="E56" s="3">
        <v>0</v>
      </c>
      <c r="F56">
        <v>16</v>
      </c>
      <c r="G56" s="2">
        <f t="shared" si="0"/>
        <v>31.768000000000001</v>
      </c>
      <c r="H56">
        <v>1.06219</v>
      </c>
    </row>
    <row r="57" spans="1:8" x14ac:dyDescent="0.3">
      <c r="A57" t="s">
        <v>7</v>
      </c>
      <c r="B57">
        <v>19.010000000000002</v>
      </c>
      <c r="C57" s="3">
        <v>0</v>
      </c>
      <c r="D57" s="2">
        <v>1.7</v>
      </c>
      <c r="E57" s="3">
        <v>0</v>
      </c>
      <c r="F57">
        <v>17</v>
      </c>
      <c r="G57" s="2">
        <f t="shared" si="0"/>
        <v>38.304000000000002</v>
      </c>
      <c r="H57">
        <v>1.0817099999999999</v>
      </c>
    </row>
    <row r="58" spans="1:8" x14ac:dyDescent="0.3">
      <c r="A58" t="s">
        <v>8</v>
      </c>
      <c r="B58">
        <v>19.010000000000002</v>
      </c>
      <c r="C58" s="3">
        <v>0</v>
      </c>
      <c r="D58" s="2">
        <v>1.7</v>
      </c>
      <c r="E58" s="3">
        <v>0</v>
      </c>
      <c r="F58">
        <v>18</v>
      </c>
      <c r="G58" s="2">
        <f t="shared" si="0"/>
        <v>45.655999999999999</v>
      </c>
      <c r="H58">
        <v>1.09256</v>
      </c>
    </row>
    <row r="59" spans="1:8" x14ac:dyDescent="0.3">
      <c r="A59" t="s">
        <v>9</v>
      </c>
      <c r="B59">
        <v>19.010000000000002</v>
      </c>
      <c r="C59" s="3">
        <v>0</v>
      </c>
      <c r="D59" s="2">
        <v>1.7</v>
      </c>
      <c r="E59" s="3">
        <v>0</v>
      </c>
      <c r="F59">
        <v>19</v>
      </c>
      <c r="G59" s="2">
        <f t="shared" si="0"/>
        <v>53.872</v>
      </c>
      <c r="H59">
        <v>1.09642</v>
      </c>
    </row>
    <row r="60" spans="1:8" x14ac:dyDescent="0.3">
      <c r="A60" t="s">
        <v>10</v>
      </c>
      <c r="B60">
        <v>19.010000000000002</v>
      </c>
      <c r="C60" s="3">
        <v>0</v>
      </c>
      <c r="D60" s="2">
        <v>1.7</v>
      </c>
      <c r="E60" s="3">
        <v>0</v>
      </c>
      <c r="F60">
        <v>20</v>
      </c>
      <c r="G60" s="2">
        <f t="shared" si="0"/>
        <v>63</v>
      </c>
      <c r="H60">
        <v>1.0943400000000001</v>
      </c>
    </row>
    <row r="61" spans="1:8" x14ac:dyDescent="0.3">
      <c r="A61" t="s">
        <v>11</v>
      </c>
      <c r="B61">
        <v>19.010000000000002</v>
      </c>
      <c r="C61" s="3">
        <v>0</v>
      </c>
      <c r="D61" s="2">
        <v>1.7</v>
      </c>
      <c r="E61" s="3">
        <v>0</v>
      </c>
      <c r="F61">
        <v>21</v>
      </c>
      <c r="G61" s="2">
        <f t="shared" si="0"/>
        <v>73.087999999999994</v>
      </c>
      <c r="H61">
        <v>1.08718</v>
      </c>
    </row>
    <row r="62" spans="1:8" x14ac:dyDescent="0.3">
      <c r="A62" t="s">
        <v>12</v>
      </c>
      <c r="B62">
        <v>19.010000000000002</v>
      </c>
      <c r="C62" s="3">
        <v>0</v>
      </c>
      <c r="D62" s="2">
        <v>1.7</v>
      </c>
      <c r="E62" s="3">
        <v>0</v>
      </c>
      <c r="F62">
        <v>22</v>
      </c>
      <c r="G62" s="2">
        <f t="shared" si="0"/>
        <v>84.183999999999997</v>
      </c>
      <c r="H62">
        <v>1.07606</v>
      </c>
    </row>
    <row r="63" spans="1:8" x14ac:dyDescent="0.3">
      <c r="A63" t="s">
        <v>13</v>
      </c>
      <c r="B63">
        <v>19.010000000000002</v>
      </c>
      <c r="C63" s="3">
        <v>0</v>
      </c>
      <c r="D63" s="2">
        <v>1.7</v>
      </c>
      <c r="E63" s="3">
        <v>0</v>
      </c>
      <c r="F63">
        <v>23</v>
      </c>
      <c r="G63" s="2">
        <f t="shared" si="0"/>
        <v>96.335999999999999</v>
      </c>
      <c r="H63">
        <v>1.0610900000000001</v>
      </c>
    </row>
    <row r="64" spans="1:8" x14ac:dyDescent="0.3">
      <c r="A64" t="s">
        <v>14</v>
      </c>
      <c r="B64">
        <v>19.010000000000002</v>
      </c>
      <c r="C64" s="3">
        <v>0</v>
      </c>
      <c r="D64" s="2">
        <v>1.7</v>
      </c>
      <c r="E64" s="3">
        <v>0</v>
      </c>
      <c r="F64">
        <v>24</v>
      </c>
      <c r="G64" s="2">
        <f t="shared" si="0"/>
        <v>109.592</v>
      </c>
      <c r="H64">
        <v>1.0434699999999999</v>
      </c>
    </row>
    <row r="65" spans="1:8" x14ac:dyDescent="0.3">
      <c r="A65" t="s">
        <v>63</v>
      </c>
      <c r="B65">
        <v>19.010000000000002</v>
      </c>
      <c r="C65" s="3">
        <v>0</v>
      </c>
      <c r="D65" s="2">
        <v>1.7</v>
      </c>
      <c r="E65" s="3">
        <v>0</v>
      </c>
      <c r="F65">
        <v>25</v>
      </c>
      <c r="G65" s="2">
        <f t="shared" ref="G65:G66" si="3">((F65^3)-(5^3))/(5^3)</f>
        <v>124</v>
      </c>
      <c r="H65">
        <v>1.02311</v>
      </c>
    </row>
    <row r="66" spans="1:8" x14ac:dyDescent="0.3">
      <c r="A66" t="s">
        <v>64</v>
      </c>
      <c r="B66">
        <v>19.010000000000002</v>
      </c>
      <c r="C66" s="3">
        <v>0</v>
      </c>
      <c r="D66" s="2">
        <v>1.7</v>
      </c>
      <c r="E66" s="3">
        <v>0</v>
      </c>
      <c r="F66">
        <v>26</v>
      </c>
      <c r="G66" s="2">
        <f t="shared" si="3"/>
        <v>139.608</v>
      </c>
      <c r="H66">
        <v>1.00098</v>
      </c>
    </row>
    <row r="68" spans="1:8" x14ac:dyDescent="0.3">
      <c r="A68" t="s">
        <v>67</v>
      </c>
      <c r="B68">
        <v>18.5349</v>
      </c>
      <c r="C68" s="3">
        <v>7</v>
      </c>
      <c r="D68" s="2">
        <v>1.6</v>
      </c>
      <c r="E68">
        <v>6.6</v>
      </c>
      <c r="F68">
        <v>12</v>
      </c>
      <c r="G68" s="2">
        <f>((F68^3)-(5^3))/(5^3)</f>
        <v>12.824</v>
      </c>
      <c r="H68">
        <v>0.83423999999999998</v>
      </c>
    </row>
    <row r="69" spans="1:8" x14ac:dyDescent="0.3">
      <c r="A69" t="s">
        <v>68</v>
      </c>
      <c r="B69">
        <v>18.5349</v>
      </c>
      <c r="C69" s="3">
        <v>7</v>
      </c>
      <c r="D69" s="2">
        <v>1.6</v>
      </c>
      <c r="E69">
        <v>6.6</v>
      </c>
      <c r="F69">
        <v>13</v>
      </c>
      <c r="G69" s="2">
        <f t="shared" ref="G69:G78" si="4">((F69^3)-(5^3))/(5^3)</f>
        <v>16.576000000000001</v>
      </c>
      <c r="H69">
        <v>0.89614000000000005</v>
      </c>
    </row>
    <row r="70" spans="1:8" x14ac:dyDescent="0.3">
      <c r="A70" t="s">
        <v>69</v>
      </c>
      <c r="B70">
        <v>18.5349</v>
      </c>
      <c r="C70" s="3">
        <v>7</v>
      </c>
      <c r="D70" s="2">
        <v>1.6</v>
      </c>
      <c r="E70">
        <v>6.6</v>
      </c>
      <c r="F70">
        <v>14</v>
      </c>
      <c r="G70" s="2">
        <f t="shared" si="4"/>
        <v>20.952000000000002</v>
      </c>
      <c r="H70">
        <v>0.93979000000000001</v>
      </c>
    </row>
    <row r="71" spans="1:8" x14ac:dyDescent="0.3">
      <c r="A71" t="s">
        <v>70</v>
      </c>
      <c r="B71">
        <v>18.5349</v>
      </c>
      <c r="C71" s="3">
        <v>7</v>
      </c>
      <c r="D71" s="2">
        <v>1.6</v>
      </c>
      <c r="E71">
        <v>6.6</v>
      </c>
      <c r="F71">
        <v>15</v>
      </c>
      <c r="G71" s="2">
        <f t="shared" si="4"/>
        <v>26</v>
      </c>
      <c r="H71">
        <v>0.96750000000000003</v>
      </c>
    </row>
    <row r="72" spans="1:8" x14ac:dyDescent="0.3">
      <c r="A72" t="s">
        <v>71</v>
      </c>
      <c r="B72">
        <v>18.5349</v>
      </c>
      <c r="C72" s="3">
        <v>7</v>
      </c>
      <c r="D72" s="2">
        <v>1.6</v>
      </c>
      <c r="E72">
        <v>6.6</v>
      </c>
      <c r="F72">
        <v>16</v>
      </c>
      <c r="G72" s="2">
        <f t="shared" si="4"/>
        <v>31.768000000000001</v>
      </c>
      <c r="H72">
        <v>0.98211000000000004</v>
      </c>
    </row>
    <row r="73" spans="1:8" x14ac:dyDescent="0.3">
      <c r="A73" t="s">
        <v>72</v>
      </c>
      <c r="B73">
        <v>18.5349</v>
      </c>
      <c r="C73" s="3">
        <v>7</v>
      </c>
      <c r="D73" s="2">
        <v>1.6</v>
      </c>
      <c r="E73">
        <v>6.6</v>
      </c>
      <c r="F73">
        <v>17</v>
      </c>
      <c r="G73" s="2">
        <f t="shared" si="4"/>
        <v>38.304000000000002</v>
      </c>
      <c r="H73">
        <v>0.98540000000000005</v>
      </c>
    </row>
    <row r="74" spans="1:8" x14ac:dyDescent="0.3">
      <c r="A74" t="s">
        <v>73</v>
      </c>
      <c r="B74">
        <v>18.5349</v>
      </c>
      <c r="C74" s="3">
        <v>7</v>
      </c>
      <c r="D74" s="2">
        <v>1.6</v>
      </c>
      <c r="E74">
        <v>6.6</v>
      </c>
      <c r="F74">
        <v>18</v>
      </c>
      <c r="G74" s="2">
        <f t="shared" si="4"/>
        <v>45.655999999999999</v>
      </c>
      <c r="H74">
        <v>0.98006000000000004</v>
      </c>
    </row>
    <row r="75" spans="1:8" x14ac:dyDescent="0.3">
      <c r="A75" t="s">
        <v>74</v>
      </c>
      <c r="B75">
        <v>18.5349</v>
      </c>
      <c r="C75" s="3">
        <v>7</v>
      </c>
      <c r="D75" s="2">
        <v>1.6</v>
      </c>
      <c r="E75">
        <v>6.6</v>
      </c>
      <c r="F75">
        <v>19</v>
      </c>
      <c r="G75" s="2">
        <f t="shared" si="4"/>
        <v>53.872</v>
      </c>
      <c r="H75">
        <v>0.96731</v>
      </c>
    </row>
    <row r="76" spans="1:8" x14ac:dyDescent="0.3">
      <c r="A76" t="s">
        <v>75</v>
      </c>
      <c r="B76">
        <v>18.5349</v>
      </c>
      <c r="C76" s="3">
        <v>7</v>
      </c>
      <c r="D76" s="2">
        <v>1.6</v>
      </c>
      <c r="E76">
        <v>6.6</v>
      </c>
      <c r="F76">
        <v>20</v>
      </c>
      <c r="G76" s="2">
        <f t="shared" si="4"/>
        <v>63</v>
      </c>
      <c r="H76">
        <v>0.94891999999999999</v>
      </c>
    </row>
    <row r="77" spans="1:8" x14ac:dyDescent="0.3">
      <c r="A77" t="s">
        <v>76</v>
      </c>
      <c r="B77">
        <v>18.5349</v>
      </c>
      <c r="C77" s="3">
        <v>7</v>
      </c>
      <c r="D77" s="2">
        <v>1.6</v>
      </c>
      <c r="E77">
        <v>6.6</v>
      </c>
      <c r="F77">
        <v>21</v>
      </c>
      <c r="G77" s="2">
        <f t="shared" si="4"/>
        <v>73.087999999999994</v>
      </c>
      <c r="H77">
        <v>0.92556000000000005</v>
      </c>
    </row>
    <row r="78" spans="1:8" x14ac:dyDescent="0.3">
      <c r="A78" t="s">
        <v>77</v>
      </c>
      <c r="B78">
        <v>18.5349</v>
      </c>
      <c r="C78" s="3">
        <v>7</v>
      </c>
      <c r="D78" s="2">
        <v>1.6</v>
      </c>
      <c r="E78">
        <v>6.6</v>
      </c>
      <c r="F78">
        <v>22</v>
      </c>
      <c r="G78" s="2">
        <f t="shared" si="4"/>
        <v>84.183999999999997</v>
      </c>
      <c r="H78">
        <v>0.89922999999999997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2025-08-24T00:43:01Z</dcterms:modified>
</cp:coreProperties>
</file>