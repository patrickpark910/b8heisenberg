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MCNP\b8\GraphitePile\"/>
    </mc:Choice>
  </mc:AlternateContent>
  <xr:revisionPtr revIDLastSave="0" documentId="13_ncr:1_{05190C43-2820-4706-B1C7-2FEFF55B4899}" xr6:coauthVersionLast="47" xr6:coauthVersionMax="47" xr10:uidLastSave="{00000000-0000-0000-0000-000000000000}"/>
  <bookViews>
    <workbookView xWindow="-108" yWindow="-108" windowWidth="30936" windowHeight="174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4" i="1" l="1"/>
  <c r="G55" i="1"/>
  <c r="G46" i="1"/>
  <c r="G47" i="1"/>
  <c r="G48" i="1"/>
  <c r="G49" i="1"/>
  <c r="G50" i="1"/>
  <c r="G51" i="1"/>
  <c r="G52" i="1"/>
  <c r="G53" i="1"/>
  <c r="G45" i="1"/>
  <c r="G44" i="1"/>
  <c r="G43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13" i="1"/>
  <c r="G12" i="1"/>
  <c r="G4" i="1"/>
  <c r="G5" i="1"/>
  <c r="G6" i="1"/>
  <c r="G7" i="1"/>
  <c r="G8" i="1"/>
  <c r="G9" i="1"/>
  <c r="G10" i="1"/>
  <c r="G11" i="1"/>
  <c r="G3" i="1"/>
</calcChain>
</file>

<file path=xl/sharedStrings.xml><?xml version="1.0" encoding="utf-8"?>
<sst xmlns="http://schemas.openxmlformats.org/spreadsheetml/2006/main" count="61" uniqueCount="59">
  <si>
    <t>Natural uranium</t>
  </si>
  <si>
    <t>Density</t>
  </si>
  <si>
    <t>EBC (ppm by mass)</t>
  </si>
  <si>
    <t>Filename</t>
  </si>
  <si>
    <t>Graphite</t>
  </si>
  <si>
    <t>k_eff</t>
  </si>
  <si>
    <t>unc</t>
  </si>
  <si>
    <t>o-seg-unit-Urho18_53-Uebc7_1-Grho1_70-Gebc6_6-pitch12.o</t>
  </si>
  <si>
    <t>o-seg-unit-Urho18_53-Uebc7_1-Grho1_70-Gebc6_6-pitch13.o</t>
  </si>
  <si>
    <t>o-seg-unit-Urho18_53-Uebc7_1-Grho1_70-Gebc6_6-pitch14.o</t>
  </si>
  <si>
    <t>o-seg-unit-Urho18_53-Uebc7_1-Grho1_70-Gebc6_6-pitch15.o</t>
  </si>
  <si>
    <t>o-seg-unit-Urho18_53-Uebc7_1-Grho1_70-Gebc6_6-pitch16.o</t>
  </si>
  <si>
    <t>o-seg-unit-Urho18_53-Uebc7_1-Grho1_70-Gebc6_6-pitch17.o</t>
  </si>
  <si>
    <t>o-seg-unit-Urho18_53-Uebc7_1-Grho1_70-Gebc6_6-pitch18.o</t>
  </si>
  <si>
    <t>o-seg-unit-Urho18_53-Uebc7_1-Grho1_70-Gebc6_6-pitch19.o</t>
  </si>
  <si>
    <t>o-seg-unit-Urho18_53-Uebc7_1-Grho1_70-Gebc6_6-pitch20.o</t>
  </si>
  <si>
    <t>Pitch</t>
  </si>
  <si>
    <t>o-seg-unit-Urho19_01-Uebc0-Grho1_70-Gebc0-pitch12.o</t>
  </si>
  <si>
    <t>o-seg-unit-Urho19_01-Uebc0-Grho1_70-Gebc0-pitch13.o</t>
  </si>
  <si>
    <t>o-seg-unit-Urho19_01-Uebc0-Grho1_70-Gebc0-pitch14.o</t>
  </si>
  <si>
    <t>o-seg-unit-Urho19_01-Uebc0-Grho1_70-Gebc0-pitch15.o</t>
  </si>
  <si>
    <t>o-seg-unit-Urho19_01-Uebc0-Grho1_70-Gebc0-pitch16.o</t>
  </si>
  <si>
    <t>o-seg-unit-Urho19_01-Uebc0-Grho1_70-Gebc0-pitch17.o</t>
  </si>
  <si>
    <t>o-seg-unit-Urho19_01-Uebc0-Grho1_70-Gebc0-pitch18.o</t>
  </si>
  <si>
    <t>o-seg-unit-Urho19_01-Uebc0-Grho1_70-Gebc0-pitch19.o</t>
  </si>
  <si>
    <t>o-seg-unit-Urho19_01-Uebc0-Grho1_70-Gebc0-pitch20.o</t>
  </si>
  <si>
    <t>o-seg-unit-Urho19_01-Uebc0-Grho1_70-Gebc0-pitch21.o</t>
  </si>
  <si>
    <t>o-seg-unit-Urho19_01-Uebc0-Grho1_70-Gebc0-pitch22.o</t>
  </si>
  <si>
    <t>o-seg-unit-Urho19_01-Uebc0-Grho1_70-Gebc0-pitch23.o</t>
  </si>
  <si>
    <t>o-seg-unit-Urho19_01-Uebc0-Grho1_70-Gebc0-pitch24.o</t>
  </si>
  <si>
    <t>o-seg-unit-Urho18_53-Uebc7_1-Grho1_70-Gebc1_4-pitch12.o</t>
  </si>
  <si>
    <t>o-seg-unit-Urho18_53-Uebc7_1-Grho1_70-Gebc1_4-pitch13.o</t>
  </si>
  <si>
    <t>o-seg-unit-Urho18_53-Uebc7_1-Grho1_70-Gebc1_4-pitch14.o</t>
  </si>
  <si>
    <t>o-seg-unit-Urho18_53-Uebc7_1-Grho1_70-Gebc1_4-pitch15.o</t>
  </si>
  <si>
    <t>o-seg-unit-Urho18_53-Uebc7_1-Grho1_70-Gebc1_4-pitch16.o</t>
  </si>
  <si>
    <t>V_M/V_F</t>
  </si>
  <si>
    <t>o-seg-unit-Urho18_53-Uebc7_1-Grho1_70-Gebc1_4-pitch17.o</t>
  </si>
  <si>
    <t>o-seg-unit-Urho18_53-Uebc7_1-Grho1_70-Gebc1_4-pitch18.o</t>
  </si>
  <si>
    <t>o-seg-unit-Urho18_53-Uebc7_1-Grho1_70-Gebc1_4-pitch19.o</t>
  </si>
  <si>
    <t>o-seg-unit-Urho18_53-Uebc7_1-Grho1_70-Gebc1_4-pitch20.o</t>
  </si>
  <si>
    <t>o-seg-unit-Urho18_53-Uebc7_1-Grho1_70-Gebc1_4-pitch21.o</t>
  </si>
  <si>
    <t>o-seg-unit-Urho18_53-Uebc7_1-Grho1_70-Gebc1_4-pitch22.o</t>
  </si>
  <si>
    <t>o-seg-unit-Urho18_53-Uebc7_1-Grho1_70-Gebc1_4-pitch23.o</t>
  </si>
  <si>
    <t>o-seg-unit-Urho18_53-Uebc7_1-Grho1_70-Gebc1_4-pitch24.o</t>
  </si>
  <si>
    <t>o-seg-unit-Urho18_53-Uebc7_1-Grho1_70-Gebc6_6-pitch21.o</t>
  </si>
  <si>
    <t>o-seg-unit-Urho18_53-Uebc7_1-Grho1_70-Gebc6_6-pitch22.o</t>
  </si>
  <si>
    <t>o-seg-unit-Urho19_01-Uebc0-Grho1_70-Gebc6_6-pitch12.o</t>
  </si>
  <si>
    <t>o-seg-unit-Urho19_01-Uebc0-Grho1_70-Gebc6_6-pitch13.o</t>
  </si>
  <si>
    <t>o-seg-unit-Urho19_01-Uebc0-Grho1_70-Gebc6_6-pitch14.o</t>
  </si>
  <si>
    <t>o-seg-unit-Urho19_01-Uebc0-Grho1_70-Gebc6_6-pitch15.o</t>
  </si>
  <si>
    <t>o-seg-unit-Urho19_01-Uebc0-Grho1_70-Gebc6_6-pitch16.o</t>
  </si>
  <si>
    <t>o-seg-unit-Urho19_01-Uebc0-Grho1_70-Gebc6_6-pitch17.o</t>
  </si>
  <si>
    <t>o-seg-unit-Urho19_01-Uebc0-Grho1_70-Gebc6_6-pitch18.o</t>
  </si>
  <si>
    <t>o-seg-unit-Urho19_01-Uebc0-Grho1_70-Gebc6_6-pitch19.o</t>
  </si>
  <si>
    <t>o-seg-unit-Urho19_01-Uebc0-Grho1_70-Gebc6_6-pitch20.o</t>
  </si>
  <si>
    <t>o-seg-unit-Urho19_01-Uebc0-Grho1_70-Gebc6_6-pitch21.o</t>
  </si>
  <si>
    <t>o-seg-unit-Urho19_01-Uebc0-Grho1_70-Gebc6_6-pitch22.o</t>
  </si>
  <si>
    <t>o-seg-unit-Urho19_01-Uebc0-Grho1_70-Gebc6_6-pitch23.o</t>
  </si>
  <si>
    <t>o-seg-unit-Urho19_01-Uebc0-Grho1_70-Gebc6_6-pitch24.o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</si>
</sst>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9ADE"/>
      <color rgb="FFF41859"/>
      <color rgb="FF41CD6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DegussaNU-SEG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4"/>
            <c:spPr>
              <a:solidFill>
                <a:schemeClr val="tx1"/>
              </a:solidFill>
              <a:ln w="12700">
                <a:noFill/>
              </a:ln>
              <a:effectLst/>
            </c:spPr>
          </c:marker>
          <c:trendline>
            <c:spPr>
              <a:ln w="9525" cap="rnd">
                <a:solidFill>
                  <a:schemeClr val="tx1"/>
                </a:solidFill>
                <a:prstDash val="solid"/>
              </a:ln>
              <a:effectLst/>
            </c:spPr>
            <c:trendlineType val="poly"/>
            <c:order val="4"/>
            <c:dispRSqr val="0"/>
            <c:dispEq val="0"/>
          </c:trendline>
          <c:xVal>
            <c:numRef>
              <c:f>Sheet1!$F$3:$F$13</c:f>
              <c:numCache>
                <c:formatCode>General</c:formatCode>
                <c:ptCount val="11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  <c:pt idx="7">
                  <c:v>19</c:v>
                </c:pt>
                <c:pt idx="8">
                  <c:v>20</c:v>
                </c:pt>
                <c:pt idx="9">
                  <c:v>21</c:v>
                </c:pt>
                <c:pt idx="10">
                  <c:v>22</c:v>
                </c:pt>
              </c:numCache>
            </c:numRef>
          </c:xVal>
          <c:yVal>
            <c:numRef>
              <c:f>Sheet1!$H$3:$H$13</c:f>
              <c:numCache>
                <c:formatCode>General</c:formatCode>
                <c:ptCount val="11"/>
                <c:pt idx="0">
                  <c:v>0.83423999999999998</c:v>
                </c:pt>
                <c:pt idx="1">
                  <c:v>0.89614000000000005</c:v>
                </c:pt>
                <c:pt idx="2">
                  <c:v>0.93979000000000001</c:v>
                </c:pt>
                <c:pt idx="3">
                  <c:v>0.96750000000000003</c:v>
                </c:pt>
                <c:pt idx="4">
                  <c:v>0.98211000000000004</c:v>
                </c:pt>
                <c:pt idx="5">
                  <c:v>0.98540000000000005</c:v>
                </c:pt>
                <c:pt idx="6">
                  <c:v>0.98006000000000004</c:v>
                </c:pt>
                <c:pt idx="7">
                  <c:v>0.96731</c:v>
                </c:pt>
                <c:pt idx="8">
                  <c:v>0.94891999999999999</c:v>
                </c:pt>
                <c:pt idx="9">
                  <c:v>0.92556000000000005</c:v>
                </c:pt>
                <c:pt idx="10">
                  <c:v>0.89922999999999997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AB-4E5B-B11A-2E6840E61FAC}"/>
            </c:ext>
          </c:extLst>
        </c:ser>
        <c:ser>
          <c:idx val="1"/>
          <c:order val="1"/>
          <c:tx>
            <c:v>PureNu-PureG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7"/>
            <c:spPr>
              <a:solidFill>
                <a:srgbClr val="41CD68"/>
              </a:solidFill>
              <a:ln w="9525">
                <a:noFill/>
              </a:ln>
              <a:effectLst/>
            </c:spPr>
          </c:marker>
          <c:trendline>
            <c:spPr>
              <a:ln w="9525" cap="rnd">
                <a:solidFill>
                  <a:srgbClr val="41CD68"/>
                </a:solidFill>
                <a:prstDash val="solid"/>
              </a:ln>
              <a:effectLst/>
            </c:spPr>
            <c:trendlineType val="poly"/>
            <c:order val="4"/>
            <c:dispRSqr val="0"/>
            <c:dispEq val="0"/>
          </c:trendline>
          <c:xVal>
            <c:numRef>
              <c:f>Sheet1!$F$15:$F$27</c:f>
              <c:numCache>
                <c:formatCode>General</c:formatCode>
                <c:ptCount val="13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  <c:pt idx="7">
                  <c:v>19</c:v>
                </c:pt>
                <c:pt idx="8">
                  <c:v>20</c:v>
                </c:pt>
                <c:pt idx="9">
                  <c:v>21</c:v>
                </c:pt>
                <c:pt idx="10">
                  <c:v>22</c:v>
                </c:pt>
                <c:pt idx="11">
                  <c:v>23</c:v>
                </c:pt>
                <c:pt idx="12">
                  <c:v>24</c:v>
                </c:pt>
              </c:numCache>
            </c:numRef>
          </c:xVal>
          <c:yVal>
            <c:numRef>
              <c:f>Sheet1!$H$15:$H$27</c:f>
              <c:numCache>
                <c:formatCode>General</c:formatCode>
                <c:ptCount val="13"/>
                <c:pt idx="0">
                  <c:v>0.86136999999999997</c:v>
                </c:pt>
                <c:pt idx="1">
                  <c:v>0.93447999999999998</c:v>
                </c:pt>
                <c:pt idx="2">
                  <c:v>0.99070000000000003</c:v>
                </c:pt>
                <c:pt idx="3">
                  <c:v>1.0325800000000001</c:v>
                </c:pt>
                <c:pt idx="4">
                  <c:v>1.06219</c:v>
                </c:pt>
                <c:pt idx="5">
                  <c:v>1.0817099999999999</c:v>
                </c:pt>
                <c:pt idx="6">
                  <c:v>1.09256</c:v>
                </c:pt>
                <c:pt idx="7">
                  <c:v>1.09642</c:v>
                </c:pt>
                <c:pt idx="8">
                  <c:v>1.0943400000000001</c:v>
                </c:pt>
                <c:pt idx="9">
                  <c:v>1.08718</c:v>
                </c:pt>
                <c:pt idx="10">
                  <c:v>1.07606</c:v>
                </c:pt>
                <c:pt idx="11">
                  <c:v>1.0610900000000001</c:v>
                </c:pt>
                <c:pt idx="12">
                  <c:v>1.0434699999999999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1AB-4E5B-B11A-2E6840E61FAC}"/>
            </c:ext>
          </c:extLst>
        </c:ser>
        <c:ser>
          <c:idx val="2"/>
          <c:order val="2"/>
          <c:tx>
            <c:v>DegussaNU-AGOT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rgbClr val="F41859"/>
              </a:solidFill>
              <a:ln w="9525">
                <a:noFill/>
              </a:ln>
              <a:effectLst/>
            </c:spPr>
          </c:marker>
          <c:trendline>
            <c:spPr>
              <a:ln w="9525" cap="rnd">
                <a:solidFill>
                  <a:srgbClr val="F41859"/>
                </a:solidFill>
                <a:prstDash val="solid"/>
              </a:ln>
              <a:effectLst/>
            </c:spPr>
            <c:trendlineType val="poly"/>
            <c:order val="4"/>
            <c:dispRSqr val="0"/>
            <c:dispEq val="0"/>
          </c:trendline>
          <c:xVal>
            <c:numRef>
              <c:f>Sheet1!$F$29:$F$41</c:f>
              <c:numCache>
                <c:formatCode>General</c:formatCode>
                <c:ptCount val="13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  <c:pt idx="7">
                  <c:v>19</c:v>
                </c:pt>
                <c:pt idx="8">
                  <c:v>20</c:v>
                </c:pt>
                <c:pt idx="9">
                  <c:v>21</c:v>
                </c:pt>
                <c:pt idx="10">
                  <c:v>22</c:v>
                </c:pt>
                <c:pt idx="11">
                  <c:v>23</c:v>
                </c:pt>
                <c:pt idx="12">
                  <c:v>24</c:v>
                </c:pt>
              </c:numCache>
            </c:numRef>
          </c:xVal>
          <c:yVal>
            <c:numRef>
              <c:f>Sheet1!$H$29:$H$41</c:f>
              <c:numCache>
                <c:formatCode>General</c:formatCode>
                <c:ptCount val="13"/>
                <c:pt idx="0">
                  <c:v>0.84845999999999999</c:v>
                </c:pt>
                <c:pt idx="1">
                  <c:v>0.91712000000000005</c:v>
                </c:pt>
                <c:pt idx="2">
                  <c:v>0.96872000000000003</c:v>
                </c:pt>
                <c:pt idx="3">
                  <c:v>1.0056700000000001</c:v>
                </c:pt>
                <c:pt idx="4">
                  <c:v>1.03034</c:v>
                </c:pt>
                <c:pt idx="5">
                  <c:v>1.04437</c:v>
                </c:pt>
                <c:pt idx="6">
                  <c:v>1.04986</c:v>
                </c:pt>
                <c:pt idx="7">
                  <c:v>1.0482800000000001</c:v>
                </c:pt>
                <c:pt idx="8">
                  <c:v>1.04074</c:v>
                </c:pt>
                <c:pt idx="9">
                  <c:v>1.02807</c:v>
                </c:pt>
                <c:pt idx="10">
                  <c:v>1.01156</c:v>
                </c:pt>
                <c:pt idx="11">
                  <c:v>0.99184000000000005</c:v>
                </c:pt>
                <c:pt idx="12">
                  <c:v>0.96913000000000005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141-416A-AD9E-02BCA09A254F}"/>
            </c:ext>
          </c:extLst>
        </c:ser>
        <c:ser>
          <c:idx val="3"/>
          <c:order val="3"/>
          <c:tx>
            <c:v>PureNU-SEG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6"/>
            <c:spPr>
              <a:solidFill>
                <a:srgbClr val="00B0F0"/>
              </a:solidFill>
              <a:ln w="9525">
                <a:noFill/>
              </a:ln>
              <a:effectLst/>
            </c:spPr>
          </c:marker>
          <c:trendline>
            <c:spPr>
              <a:ln w="9525" cap="rnd">
                <a:solidFill>
                  <a:srgbClr val="009ADE"/>
                </a:solidFill>
                <a:prstDash val="solid"/>
              </a:ln>
              <a:effectLst/>
            </c:spPr>
            <c:trendlineType val="poly"/>
            <c:order val="4"/>
            <c:dispRSqr val="0"/>
            <c:dispEq val="0"/>
          </c:trendline>
          <c:xVal>
            <c:numRef>
              <c:f>Sheet1!$F$43:$F$55</c:f>
              <c:numCache>
                <c:formatCode>General</c:formatCode>
                <c:ptCount val="13"/>
                <c:pt idx="0">
                  <c:v>12</c:v>
                </c:pt>
                <c:pt idx="1">
                  <c:v>13</c:v>
                </c:pt>
                <c:pt idx="2">
                  <c:v>14</c:v>
                </c:pt>
                <c:pt idx="3">
                  <c:v>15</c:v>
                </c:pt>
                <c:pt idx="4">
                  <c:v>16</c:v>
                </c:pt>
                <c:pt idx="5">
                  <c:v>17</c:v>
                </c:pt>
                <c:pt idx="6">
                  <c:v>18</c:v>
                </c:pt>
                <c:pt idx="7">
                  <c:v>19</c:v>
                </c:pt>
                <c:pt idx="8">
                  <c:v>20</c:v>
                </c:pt>
                <c:pt idx="9">
                  <c:v>21</c:v>
                </c:pt>
                <c:pt idx="10">
                  <c:v>22</c:v>
                </c:pt>
                <c:pt idx="11">
                  <c:v>23</c:v>
                </c:pt>
                <c:pt idx="12">
                  <c:v>24</c:v>
                </c:pt>
              </c:numCache>
            </c:numRef>
          </c:xVal>
          <c:yVal>
            <c:numRef>
              <c:f>Sheet1!$H$43:$H$55</c:f>
              <c:numCache>
                <c:formatCode>General</c:formatCode>
                <c:ptCount val="13"/>
                <c:pt idx="0">
                  <c:v>0.84230000000000005</c:v>
                </c:pt>
                <c:pt idx="1">
                  <c:v>0.90561999999999998</c:v>
                </c:pt>
                <c:pt idx="2">
                  <c:v>0.95065</c:v>
                </c:pt>
                <c:pt idx="3">
                  <c:v>0.97985999999999995</c:v>
                </c:pt>
                <c:pt idx="4">
                  <c:v>0.99507000000000001</c:v>
                </c:pt>
                <c:pt idx="5">
                  <c:v>0.99902000000000002</c:v>
                </c:pt>
                <c:pt idx="6">
                  <c:v>0.99387999999999999</c:v>
                </c:pt>
                <c:pt idx="7">
                  <c:v>0.98128000000000004</c:v>
                </c:pt>
                <c:pt idx="8">
                  <c:v>0.96287</c:v>
                </c:pt>
                <c:pt idx="9">
                  <c:v>0.93959000000000004</c:v>
                </c:pt>
                <c:pt idx="10">
                  <c:v>0.91279999999999994</c:v>
                </c:pt>
                <c:pt idx="11">
                  <c:v>0.88341000000000003</c:v>
                </c:pt>
                <c:pt idx="12">
                  <c:v>0.85238000000000003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141-416A-AD9E-02BCA09A2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9541711"/>
        <c:axId val="899546031"/>
      </c:scatterChart>
      <c:valAx>
        <c:axId val="899541711"/>
        <c:scaling>
          <c:orientation val="minMax"/>
          <c:max val="24"/>
          <c:min val="14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>
                    <a:solidFill>
                      <a:sysClr val="windowText" lastClr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Pitch [cm]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out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9546031"/>
        <c:crosses val="autoZero"/>
        <c:crossBetween val="midCat"/>
        <c:majorUnit val="1"/>
        <c:minorUnit val="1"/>
      </c:valAx>
      <c:valAx>
        <c:axId val="899546031"/>
        <c:scaling>
          <c:orientation val="minMax"/>
          <c:max val="1.1200000000000001"/>
          <c:min val="0.9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Infinite multiplication [k_inf]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.00" sourceLinked="0"/>
        <c:majorTickMark val="out"/>
        <c:minorTickMark val="out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9541711"/>
        <c:crosses val="autoZero"/>
        <c:crossBetween val="midCat"/>
        <c:majorUnit val="2.0000000000000004E-2"/>
        <c:minorUnit val="2.0000000000000004E-2"/>
      </c:valAx>
      <c:spPr>
        <a:noFill/>
        <a:ln w="9525">
          <a:solidFill>
            <a:sysClr val="windowText" lastClr="000000"/>
          </a:solidFill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83820</xdr:colOff>
      <xdr:row>5</xdr:row>
      <xdr:rowOff>30480</xdr:rowOff>
    </xdr:from>
    <xdr:to>
      <xdr:col>15</xdr:col>
      <xdr:colOff>83820</xdr:colOff>
      <xdr:row>20</xdr:row>
      <xdr:rowOff>139504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32B308-AEB5-A106-305B-7FF3233DA7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5"/>
  <sheetViews>
    <sheetView tabSelected="1" zoomScale="130" zoomScaleNormal="130" workbookViewId="0">
      <selection activeCell="J25" sqref="J25"/>
    </sheetView>
  </sheetViews>
  <sheetFormatPr defaultRowHeight="14.4" x14ac:dyDescent="0.3"/>
  <cols>
    <col min="1" max="1" width="53.5546875" customWidth="1"/>
    <col min="3" max="3" width="9" customWidth="1"/>
    <col min="5" max="5" width="9" customWidth="1"/>
    <col min="6" max="6" width="6.6640625" customWidth="1"/>
    <col min="7" max="7" width="9.88671875" customWidth="1"/>
  </cols>
  <sheetData>
    <row r="1" spans="1:9" x14ac:dyDescent="0.3">
      <c r="B1" s="1" t="s">
        <v>0</v>
      </c>
      <c r="D1" s="1" t="s">
        <v>4</v>
      </c>
    </row>
    <row r="2" spans="1:9" x14ac:dyDescent="0.3">
      <c r="A2" s="1" t="s">
        <v>3</v>
      </c>
      <c r="B2" s="1" t="s">
        <v>1</v>
      </c>
      <c r="C2" s="1" t="s">
        <v>2</v>
      </c>
      <c r="D2" s="1" t="s">
        <v>1</v>
      </c>
      <c r="E2" s="1" t="s">
        <v>2</v>
      </c>
      <c r="F2" s="1" t="s">
        <v>16</v>
      </c>
      <c r="G2" s="1" t="s">
        <v>35</v>
      </c>
      <c r="H2" s="1" t="s">
        <v>5</v>
      </c>
      <c r="I2" s="1" t="s">
        <v>6</v>
      </c>
    </row>
    <row r="3" spans="1:9" x14ac:dyDescent="0.3">
      <c r="A3" t="s">
        <v>7</v>
      </c>
      <c r="B3">
        <v>18.53</v>
      </c>
      <c r="C3">
        <v>7.1</v>
      </c>
      <c r="D3" s="2">
        <v>1.7</v>
      </c>
      <c r="E3">
        <v>6.6</v>
      </c>
      <c r="F3">
        <v>12</v>
      </c>
      <c r="G3" s="2">
        <f>((F3^3)-(5^3))/(5^3)</f>
        <v>12.824</v>
      </c>
      <c r="H3">
        <v>0.83423999999999998</v>
      </c>
    </row>
    <row r="4" spans="1:9" x14ac:dyDescent="0.3">
      <c r="A4" t="s">
        <v>8</v>
      </c>
      <c r="B4">
        <v>18.53</v>
      </c>
      <c r="C4">
        <v>7.1</v>
      </c>
      <c r="D4" s="2">
        <v>1.7</v>
      </c>
      <c r="E4">
        <v>6.6</v>
      </c>
      <c r="F4">
        <v>13</v>
      </c>
      <c r="G4" s="2">
        <f t="shared" ref="G4:G55" si="0">((F4^3)-(5^3))/(5^3)</f>
        <v>16.576000000000001</v>
      </c>
      <c r="H4">
        <v>0.89614000000000005</v>
      </c>
    </row>
    <row r="5" spans="1:9" x14ac:dyDescent="0.3">
      <c r="A5" t="s">
        <v>9</v>
      </c>
      <c r="B5">
        <v>18.53</v>
      </c>
      <c r="C5">
        <v>7.1</v>
      </c>
      <c r="D5" s="2">
        <v>1.7</v>
      </c>
      <c r="E5">
        <v>6.6</v>
      </c>
      <c r="F5">
        <v>14</v>
      </c>
      <c r="G5" s="2">
        <f t="shared" si="0"/>
        <v>20.952000000000002</v>
      </c>
      <c r="H5">
        <v>0.93979000000000001</v>
      </c>
    </row>
    <row r="6" spans="1:9" x14ac:dyDescent="0.3">
      <c r="A6" t="s">
        <v>10</v>
      </c>
      <c r="B6">
        <v>18.53</v>
      </c>
      <c r="C6">
        <v>7.1</v>
      </c>
      <c r="D6" s="2">
        <v>1.7</v>
      </c>
      <c r="E6">
        <v>6.6</v>
      </c>
      <c r="F6">
        <v>15</v>
      </c>
      <c r="G6" s="2">
        <f t="shared" si="0"/>
        <v>26</v>
      </c>
      <c r="H6">
        <v>0.96750000000000003</v>
      </c>
    </row>
    <row r="7" spans="1:9" x14ac:dyDescent="0.3">
      <c r="A7" t="s">
        <v>11</v>
      </c>
      <c r="B7">
        <v>18.53</v>
      </c>
      <c r="C7">
        <v>7.1</v>
      </c>
      <c r="D7" s="2">
        <v>1.7</v>
      </c>
      <c r="E7">
        <v>6.6</v>
      </c>
      <c r="F7">
        <v>16</v>
      </c>
      <c r="G7" s="2">
        <f t="shared" si="0"/>
        <v>31.768000000000001</v>
      </c>
      <c r="H7">
        <v>0.98211000000000004</v>
      </c>
    </row>
    <row r="8" spans="1:9" x14ac:dyDescent="0.3">
      <c r="A8" t="s">
        <v>12</v>
      </c>
      <c r="B8">
        <v>18.53</v>
      </c>
      <c r="C8">
        <v>7.1</v>
      </c>
      <c r="D8" s="2">
        <v>1.7</v>
      </c>
      <c r="E8">
        <v>6.6</v>
      </c>
      <c r="F8">
        <v>17</v>
      </c>
      <c r="G8" s="2">
        <f t="shared" si="0"/>
        <v>38.304000000000002</v>
      </c>
      <c r="H8">
        <v>0.98540000000000005</v>
      </c>
    </row>
    <row r="9" spans="1:9" x14ac:dyDescent="0.3">
      <c r="A9" t="s">
        <v>13</v>
      </c>
      <c r="B9">
        <v>18.53</v>
      </c>
      <c r="C9">
        <v>7.1</v>
      </c>
      <c r="D9" s="2">
        <v>1.7</v>
      </c>
      <c r="E9">
        <v>6.6</v>
      </c>
      <c r="F9">
        <v>18</v>
      </c>
      <c r="G9" s="2">
        <f t="shared" si="0"/>
        <v>45.655999999999999</v>
      </c>
      <c r="H9">
        <v>0.98006000000000004</v>
      </c>
    </row>
    <row r="10" spans="1:9" x14ac:dyDescent="0.3">
      <c r="A10" t="s">
        <v>14</v>
      </c>
      <c r="B10">
        <v>18.53</v>
      </c>
      <c r="C10">
        <v>7.1</v>
      </c>
      <c r="D10" s="2">
        <v>1.7</v>
      </c>
      <c r="E10">
        <v>6.6</v>
      </c>
      <c r="F10">
        <v>19</v>
      </c>
      <c r="G10" s="2">
        <f t="shared" si="0"/>
        <v>53.872</v>
      </c>
      <c r="H10">
        <v>0.96731</v>
      </c>
    </row>
    <row r="11" spans="1:9" x14ac:dyDescent="0.3">
      <c r="A11" t="s">
        <v>15</v>
      </c>
      <c r="B11">
        <v>18.53</v>
      </c>
      <c r="C11">
        <v>7.1</v>
      </c>
      <c r="D11" s="2">
        <v>1.7</v>
      </c>
      <c r="E11">
        <v>6.6</v>
      </c>
      <c r="F11">
        <v>20</v>
      </c>
      <c r="G11" s="2">
        <f t="shared" si="0"/>
        <v>63</v>
      </c>
      <c r="H11">
        <v>0.94891999999999999</v>
      </c>
    </row>
    <row r="12" spans="1:9" x14ac:dyDescent="0.3">
      <c r="A12" t="s">
        <v>44</v>
      </c>
      <c r="B12">
        <v>18.53</v>
      </c>
      <c r="C12">
        <v>7.1</v>
      </c>
      <c r="D12" s="2">
        <v>1.7</v>
      </c>
      <c r="E12">
        <v>6.6</v>
      </c>
      <c r="F12">
        <v>21</v>
      </c>
      <c r="G12" s="2">
        <f t="shared" si="0"/>
        <v>73.087999999999994</v>
      </c>
      <c r="H12">
        <v>0.92556000000000005</v>
      </c>
    </row>
    <row r="13" spans="1:9" x14ac:dyDescent="0.3">
      <c r="A13" t="s">
        <v>45</v>
      </c>
      <c r="B13">
        <v>18.53</v>
      </c>
      <c r="C13">
        <v>7.1</v>
      </c>
      <c r="D13" s="2">
        <v>1.7</v>
      </c>
      <c r="E13">
        <v>6.6</v>
      </c>
      <c r="F13">
        <v>22</v>
      </c>
      <c r="G13" s="2">
        <f t="shared" si="0"/>
        <v>84.183999999999997</v>
      </c>
      <c r="H13">
        <v>0.89922999999999997</v>
      </c>
    </row>
    <row r="14" spans="1:9" x14ac:dyDescent="0.3">
      <c r="G14" s="2"/>
    </row>
    <row r="15" spans="1:9" x14ac:dyDescent="0.3">
      <c r="A15" t="s">
        <v>17</v>
      </c>
      <c r="B15">
        <v>19.010000000000002</v>
      </c>
      <c r="C15">
        <v>0</v>
      </c>
      <c r="D15" s="2">
        <v>1.7</v>
      </c>
      <c r="E15">
        <v>0</v>
      </c>
      <c r="F15">
        <v>12</v>
      </c>
      <c r="G15" s="2">
        <f t="shared" si="0"/>
        <v>12.824</v>
      </c>
      <c r="H15">
        <v>0.86136999999999997</v>
      </c>
    </row>
    <row r="16" spans="1:9" x14ac:dyDescent="0.3">
      <c r="A16" t="s">
        <v>18</v>
      </c>
      <c r="B16">
        <v>19.010000000000002</v>
      </c>
      <c r="C16">
        <v>0</v>
      </c>
      <c r="D16" s="2">
        <v>1.7</v>
      </c>
      <c r="E16">
        <v>0</v>
      </c>
      <c r="F16">
        <v>13</v>
      </c>
      <c r="G16" s="2">
        <f t="shared" si="0"/>
        <v>16.576000000000001</v>
      </c>
      <c r="H16">
        <v>0.93447999999999998</v>
      </c>
    </row>
    <row r="17" spans="1:8" x14ac:dyDescent="0.3">
      <c r="A17" t="s">
        <v>19</v>
      </c>
      <c r="B17">
        <v>19.010000000000002</v>
      </c>
      <c r="C17">
        <v>0</v>
      </c>
      <c r="D17" s="2">
        <v>1.7</v>
      </c>
      <c r="E17">
        <v>0</v>
      </c>
      <c r="F17">
        <v>14</v>
      </c>
      <c r="G17" s="2">
        <f t="shared" si="0"/>
        <v>20.952000000000002</v>
      </c>
      <c r="H17">
        <v>0.99070000000000003</v>
      </c>
    </row>
    <row r="18" spans="1:8" x14ac:dyDescent="0.3">
      <c r="A18" t="s">
        <v>20</v>
      </c>
      <c r="B18">
        <v>19.010000000000002</v>
      </c>
      <c r="C18">
        <v>0</v>
      </c>
      <c r="D18" s="2">
        <v>1.7</v>
      </c>
      <c r="E18">
        <v>0</v>
      </c>
      <c r="F18">
        <v>15</v>
      </c>
      <c r="G18" s="2">
        <f t="shared" si="0"/>
        <v>26</v>
      </c>
      <c r="H18">
        <v>1.0325800000000001</v>
      </c>
    </row>
    <row r="19" spans="1:8" x14ac:dyDescent="0.3">
      <c r="A19" t="s">
        <v>21</v>
      </c>
      <c r="B19">
        <v>19.010000000000002</v>
      </c>
      <c r="C19">
        <v>0</v>
      </c>
      <c r="D19" s="2">
        <v>1.7</v>
      </c>
      <c r="E19">
        <v>0</v>
      </c>
      <c r="F19">
        <v>16</v>
      </c>
      <c r="G19" s="2">
        <f t="shared" si="0"/>
        <v>31.768000000000001</v>
      </c>
      <c r="H19">
        <v>1.06219</v>
      </c>
    </row>
    <row r="20" spans="1:8" x14ac:dyDescent="0.3">
      <c r="A20" t="s">
        <v>22</v>
      </c>
      <c r="B20">
        <v>19.010000000000002</v>
      </c>
      <c r="C20">
        <v>0</v>
      </c>
      <c r="D20" s="2">
        <v>1.7</v>
      </c>
      <c r="E20">
        <v>0</v>
      </c>
      <c r="F20">
        <v>17</v>
      </c>
      <c r="G20" s="2">
        <f t="shared" si="0"/>
        <v>38.304000000000002</v>
      </c>
      <c r="H20">
        <v>1.0817099999999999</v>
      </c>
    </row>
    <row r="21" spans="1:8" x14ac:dyDescent="0.3">
      <c r="A21" t="s">
        <v>23</v>
      </c>
      <c r="B21">
        <v>19.010000000000002</v>
      </c>
      <c r="C21">
        <v>0</v>
      </c>
      <c r="D21" s="2">
        <v>1.7</v>
      </c>
      <c r="E21">
        <v>0</v>
      </c>
      <c r="F21">
        <v>18</v>
      </c>
      <c r="G21" s="2">
        <f t="shared" si="0"/>
        <v>45.655999999999999</v>
      </c>
      <c r="H21">
        <v>1.09256</v>
      </c>
    </row>
    <row r="22" spans="1:8" x14ac:dyDescent="0.3">
      <c r="A22" t="s">
        <v>24</v>
      </c>
      <c r="B22">
        <v>19.010000000000002</v>
      </c>
      <c r="C22">
        <v>0</v>
      </c>
      <c r="D22" s="2">
        <v>1.7</v>
      </c>
      <c r="E22">
        <v>0</v>
      </c>
      <c r="F22">
        <v>19</v>
      </c>
      <c r="G22" s="2">
        <f t="shared" si="0"/>
        <v>53.872</v>
      </c>
      <c r="H22">
        <v>1.09642</v>
      </c>
    </row>
    <row r="23" spans="1:8" x14ac:dyDescent="0.3">
      <c r="A23" t="s">
        <v>25</v>
      </c>
      <c r="B23">
        <v>19.010000000000002</v>
      </c>
      <c r="C23">
        <v>0</v>
      </c>
      <c r="D23" s="2">
        <v>1.7</v>
      </c>
      <c r="E23">
        <v>0</v>
      </c>
      <c r="F23">
        <v>20</v>
      </c>
      <c r="G23" s="2">
        <f t="shared" si="0"/>
        <v>63</v>
      </c>
      <c r="H23">
        <v>1.0943400000000001</v>
      </c>
    </row>
    <row r="24" spans="1:8" x14ac:dyDescent="0.3">
      <c r="A24" t="s">
        <v>26</v>
      </c>
      <c r="B24">
        <v>19.010000000000002</v>
      </c>
      <c r="C24">
        <v>0</v>
      </c>
      <c r="D24" s="2">
        <v>1.7</v>
      </c>
      <c r="E24">
        <v>0</v>
      </c>
      <c r="F24">
        <v>21</v>
      </c>
      <c r="G24" s="2">
        <f t="shared" si="0"/>
        <v>73.087999999999994</v>
      </c>
      <c r="H24">
        <v>1.08718</v>
      </c>
    </row>
    <row r="25" spans="1:8" x14ac:dyDescent="0.3">
      <c r="A25" t="s">
        <v>27</v>
      </c>
      <c r="B25">
        <v>19.010000000000002</v>
      </c>
      <c r="C25">
        <v>0</v>
      </c>
      <c r="D25" s="2">
        <v>1.7</v>
      </c>
      <c r="E25">
        <v>0</v>
      </c>
      <c r="F25">
        <v>22</v>
      </c>
      <c r="G25" s="2">
        <f t="shared" si="0"/>
        <v>84.183999999999997</v>
      </c>
      <c r="H25">
        <v>1.07606</v>
      </c>
    </row>
    <row r="26" spans="1:8" x14ac:dyDescent="0.3">
      <c r="A26" t="s">
        <v>28</v>
      </c>
      <c r="B26">
        <v>19.010000000000002</v>
      </c>
      <c r="C26">
        <v>0</v>
      </c>
      <c r="D26" s="2">
        <v>1.7</v>
      </c>
      <c r="E26">
        <v>0</v>
      </c>
      <c r="F26">
        <v>23</v>
      </c>
      <c r="G26" s="2">
        <f t="shared" si="0"/>
        <v>96.335999999999999</v>
      </c>
      <c r="H26">
        <v>1.0610900000000001</v>
      </c>
    </row>
    <row r="27" spans="1:8" x14ac:dyDescent="0.3">
      <c r="A27" t="s">
        <v>29</v>
      </c>
      <c r="B27">
        <v>19.010000000000002</v>
      </c>
      <c r="C27">
        <v>0</v>
      </c>
      <c r="D27" s="2">
        <v>1.7</v>
      </c>
      <c r="E27">
        <v>0</v>
      </c>
      <c r="F27">
        <v>24</v>
      </c>
      <c r="G27" s="2">
        <f t="shared" si="0"/>
        <v>109.592</v>
      </c>
      <c r="H27">
        <v>1.0434699999999999</v>
      </c>
    </row>
    <row r="28" spans="1:8" x14ac:dyDescent="0.3">
      <c r="D28" s="2"/>
      <c r="G28" s="2"/>
    </row>
    <row r="29" spans="1:8" x14ac:dyDescent="0.3">
      <c r="A29" t="s">
        <v>30</v>
      </c>
      <c r="B29">
        <v>18.53</v>
      </c>
      <c r="C29">
        <v>7.1</v>
      </c>
      <c r="D29" s="2">
        <v>1.7</v>
      </c>
      <c r="E29">
        <v>1.4</v>
      </c>
      <c r="F29">
        <v>12</v>
      </c>
      <c r="G29" s="2">
        <f t="shared" si="0"/>
        <v>12.824</v>
      </c>
      <c r="H29">
        <v>0.84845999999999999</v>
      </c>
    </row>
    <row r="30" spans="1:8" x14ac:dyDescent="0.3">
      <c r="A30" t="s">
        <v>31</v>
      </c>
      <c r="B30">
        <v>18.53</v>
      </c>
      <c r="C30">
        <v>7.1</v>
      </c>
      <c r="D30" s="2">
        <v>1.7</v>
      </c>
      <c r="E30">
        <v>1.4</v>
      </c>
      <c r="F30">
        <v>13</v>
      </c>
      <c r="G30" s="2">
        <f t="shared" si="0"/>
        <v>16.576000000000001</v>
      </c>
      <c r="H30">
        <v>0.91712000000000005</v>
      </c>
    </row>
    <row r="31" spans="1:8" x14ac:dyDescent="0.3">
      <c r="A31" t="s">
        <v>32</v>
      </c>
      <c r="B31">
        <v>18.53</v>
      </c>
      <c r="C31">
        <v>7.1</v>
      </c>
      <c r="D31" s="2">
        <v>1.7</v>
      </c>
      <c r="E31">
        <v>1.4</v>
      </c>
      <c r="F31">
        <v>14</v>
      </c>
      <c r="G31" s="2">
        <f t="shared" si="0"/>
        <v>20.952000000000002</v>
      </c>
      <c r="H31">
        <v>0.96872000000000003</v>
      </c>
    </row>
    <row r="32" spans="1:8" x14ac:dyDescent="0.3">
      <c r="A32" t="s">
        <v>33</v>
      </c>
      <c r="B32">
        <v>18.53</v>
      </c>
      <c r="C32">
        <v>7.1</v>
      </c>
      <c r="D32" s="2">
        <v>1.7</v>
      </c>
      <c r="E32">
        <v>1.4</v>
      </c>
      <c r="F32">
        <v>15</v>
      </c>
      <c r="G32" s="2">
        <f t="shared" si="0"/>
        <v>26</v>
      </c>
      <c r="H32">
        <v>1.0056700000000001</v>
      </c>
    </row>
    <row r="33" spans="1:8" x14ac:dyDescent="0.3">
      <c r="A33" t="s">
        <v>34</v>
      </c>
      <c r="B33">
        <v>18.53</v>
      </c>
      <c r="C33">
        <v>7.1</v>
      </c>
      <c r="D33" s="2">
        <v>1.7</v>
      </c>
      <c r="E33">
        <v>1.4</v>
      </c>
      <c r="F33">
        <v>16</v>
      </c>
      <c r="G33" s="2">
        <f t="shared" si="0"/>
        <v>31.768000000000001</v>
      </c>
      <c r="H33">
        <v>1.03034</v>
      </c>
    </row>
    <row r="34" spans="1:8" x14ac:dyDescent="0.3">
      <c r="A34" t="s">
        <v>36</v>
      </c>
      <c r="B34">
        <v>18.53</v>
      </c>
      <c r="C34">
        <v>7.1</v>
      </c>
      <c r="D34" s="2">
        <v>1.7</v>
      </c>
      <c r="E34">
        <v>1.4</v>
      </c>
      <c r="F34">
        <v>17</v>
      </c>
      <c r="G34" s="2">
        <f t="shared" si="0"/>
        <v>38.304000000000002</v>
      </c>
      <c r="H34">
        <v>1.04437</v>
      </c>
    </row>
    <row r="35" spans="1:8" x14ac:dyDescent="0.3">
      <c r="A35" t="s">
        <v>37</v>
      </c>
      <c r="B35">
        <v>18.53</v>
      </c>
      <c r="C35">
        <v>7.1</v>
      </c>
      <c r="D35" s="2">
        <v>1.7</v>
      </c>
      <c r="E35">
        <v>1.4</v>
      </c>
      <c r="F35">
        <v>18</v>
      </c>
      <c r="G35" s="2">
        <f t="shared" si="0"/>
        <v>45.655999999999999</v>
      </c>
      <c r="H35">
        <v>1.04986</v>
      </c>
    </row>
    <row r="36" spans="1:8" x14ac:dyDescent="0.3">
      <c r="A36" t="s">
        <v>38</v>
      </c>
      <c r="B36">
        <v>18.53</v>
      </c>
      <c r="C36">
        <v>7.1</v>
      </c>
      <c r="D36" s="2">
        <v>1.7</v>
      </c>
      <c r="E36">
        <v>1.4</v>
      </c>
      <c r="F36">
        <v>19</v>
      </c>
      <c r="G36" s="2">
        <f t="shared" si="0"/>
        <v>53.872</v>
      </c>
      <c r="H36">
        <v>1.0482800000000001</v>
      </c>
    </row>
    <row r="37" spans="1:8" x14ac:dyDescent="0.3">
      <c r="A37" t="s">
        <v>39</v>
      </c>
      <c r="B37">
        <v>18.53</v>
      </c>
      <c r="C37">
        <v>7.1</v>
      </c>
      <c r="D37" s="2">
        <v>1.7</v>
      </c>
      <c r="E37">
        <v>1.4</v>
      </c>
      <c r="F37">
        <v>20</v>
      </c>
      <c r="G37" s="2">
        <f t="shared" si="0"/>
        <v>63</v>
      </c>
      <c r="H37">
        <v>1.04074</v>
      </c>
    </row>
    <row r="38" spans="1:8" x14ac:dyDescent="0.3">
      <c r="A38" t="s">
        <v>40</v>
      </c>
      <c r="B38">
        <v>18.53</v>
      </c>
      <c r="C38">
        <v>7.1</v>
      </c>
      <c r="D38" s="2">
        <v>1.7</v>
      </c>
      <c r="E38">
        <v>1.4</v>
      </c>
      <c r="F38">
        <v>21</v>
      </c>
      <c r="G38" s="2">
        <f t="shared" si="0"/>
        <v>73.087999999999994</v>
      </c>
      <c r="H38">
        <v>1.02807</v>
      </c>
    </row>
    <row r="39" spans="1:8" x14ac:dyDescent="0.3">
      <c r="A39" t="s">
        <v>41</v>
      </c>
      <c r="B39">
        <v>18.53</v>
      </c>
      <c r="C39">
        <v>7.1</v>
      </c>
      <c r="D39" s="2">
        <v>1.7</v>
      </c>
      <c r="E39">
        <v>1.4</v>
      </c>
      <c r="F39">
        <v>22</v>
      </c>
      <c r="G39" s="2">
        <f t="shared" si="0"/>
        <v>84.183999999999997</v>
      </c>
      <c r="H39">
        <v>1.01156</v>
      </c>
    </row>
    <row r="40" spans="1:8" x14ac:dyDescent="0.3">
      <c r="A40" t="s">
        <v>42</v>
      </c>
      <c r="B40">
        <v>18.53</v>
      </c>
      <c r="C40">
        <v>7.1</v>
      </c>
      <c r="D40" s="2">
        <v>1.7</v>
      </c>
      <c r="E40">
        <v>1.4</v>
      </c>
      <c r="F40">
        <v>23</v>
      </c>
      <c r="G40" s="2">
        <f t="shared" si="0"/>
        <v>96.335999999999999</v>
      </c>
      <c r="H40">
        <v>0.99184000000000005</v>
      </c>
    </row>
    <row r="41" spans="1:8" x14ac:dyDescent="0.3">
      <c r="A41" t="s">
        <v>43</v>
      </c>
      <c r="B41">
        <v>18.53</v>
      </c>
      <c r="C41">
        <v>7.1</v>
      </c>
      <c r="D41" s="2">
        <v>1.7</v>
      </c>
      <c r="E41">
        <v>1.4</v>
      </c>
      <c r="F41">
        <v>24</v>
      </c>
      <c r="G41" s="2">
        <f t="shared" si="0"/>
        <v>109.592</v>
      </c>
      <c r="H41">
        <v>0.96913000000000005</v>
      </c>
    </row>
    <row r="42" spans="1:8" x14ac:dyDescent="0.3">
      <c r="D42" s="2"/>
    </row>
    <row r="43" spans="1:8" x14ac:dyDescent="0.3">
      <c r="A43" t="s">
        <v>46</v>
      </c>
      <c r="B43">
        <v>19.010000000000002</v>
      </c>
      <c r="C43">
        <v>0</v>
      </c>
      <c r="D43" s="2">
        <v>1.7</v>
      </c>
      <c r="E43">
        <v>6.6</v>
      </c>
      <c r="F43">
        <v>12</v>
      </c>
      <c r="G43" s="2">
        <f t="shared" si="0"/>
        <v>12.824</v>
      </c>
      <c r="H43">
        <v>0.84230000000000005</v>
      </c>
    </row>
    <row r="44" spans="1:8" x14ac:dyDescent="0.3">
      <c r="A44" t="s">
        <v>47</v>
      </c>
      <c r="B44">
        <v>19.010000000000002</v>
      </c>
      <c r="C44">
        <v>0</v>
      </c>
      <c r="D44" s="2">
        <v>1.7</v>
      </c>
      <c r="E44">
        <v>6.6</v>
      </c>
      <c r="F44">
        <v>13</v>
      </c>
      <c r="G44" s="2">
        <f t="shared" si="0"/>
        <v>16.576000000000001</v>
      </c>
      <c r="H44">
        <v>0.90561999999999998</v>
      </c>
    </row>
    <row r="45" spans="1:8" x14ac:dyDescent="0.3">
      <c r="A45" t="s">
        <v>48</v>
      </c>
      <c r="B45">
        <v>19.010000000000002</v>
      </c>
      <c r="C45">
        <v>0</v>
      </c>
      <c r="D45" s="2">
        <v>1.7</v>
      </c>
      <c r="E45">
        <v>6.6</v>
      </c>
      <c r="F45">
        <v>14</v>
      </c>
      <c r="G45" s="2">
        <f t="shared" si="0"/>
        <v>20.952000000000002</v>
      </c>
      <c r="H45">
        <v>0.95065</v>
      </c>
    </row>
    <row r="46" spans="1:8" x14ac:dyDescent="0.3">
      <c r="A46" t="s">
        <v>49</v>
      </c>
      <c r="B46">
        <v>19.010000000000002</v>
      </c>
      <c r="C46">
        <v>0</v>
      </c>
      <c r="D46" s="2">
        <v>1.7</v>
      </c>
      <c r="E46">
        <v>6.6</v>
      </c>
      <c r="F46">
        <v>15</v>
      </c>
      <c r="G46" s="2">
        <f t="shared" si="0"/>
        <v>26</v>
      </c>
      <c r="H46">
        <v>0.97985999999999995</v>
      </c>
    </row>
    <row r="47" spans="1:8" x14ac:dyDescent="0.3">
      <c r="A47" t="s">
        <v>50</v>
      </c>
      <c r="B47">
        <v>19.010000000000002</v>
      </c>
      <c r="C47">
        <v>0</v>
      </c>
      <c r="D47" s="2">
        <v>1.7</v>
      </c>
      <c r="E47">
        <v>6.6</v>
      </c>
      <c r="F47">
        <v>16</v>
      </c>
      <c r="G47" s="2">
        <f t="shared" si="0"/>
        <v>31.768000000000001</v>
      </c>
      <c r="H47">
        <v>0.99507000000000001</v>
      </c>
    </row>
    <row r="48" spans="1:8" x14ac:dyDescent="0.3">
      <c r="A48" t="s">
        <v>51</v>
      </c>
      <c r="B48">
        <v>19.010000000000002</v>
      </c>
      <c r="C48">
        <v>0</v>
      </c>
      <c r="D48" s="2">
        <v>1.7</v>
      </c>
      <c r="E48">
        <v>6.6</v>
      </c>
      <c r="F48">
        <v>17</v>
      </c>
      <c r="G48" s="2">
        <f t="shared" si="0"/>
        <v>38.304000000000002</v>
      </c>
      <c r="H48">
        <v>0.99902000000000002</v>
      </c>
    </row>
    <row r="49" spans="1:8" x14ac:dyDescent="0.3">
      <c r="A49" t="s">
        <v>52</v>
      </c>
      <c r="B49">
        <v>19.010000000000002</v>
      </c>
      <c r="C49">
        <v>0</v>
      </c>
      <c r="D49" s="2">
        <v>1.7</v>
      </c>
      <c r="E49">
        <v>6.6</v>
      </c>
      <c r="F49">
        <v>18</v>
      </c>
      <c r="G49" s="2">
        <f t="shared" si="0"/>
        <v>45.655999999999999</v>
      </c>
      <c r="H49">
        <v>0.99387999999999999</v>
      </c>
    </row>
    <row r="50" spans="1:8" x14ac:dyDescent="0.3">
      <c r="A50" t="s">
        <v>53</v>
      </c>
      <c r="B50">
        <v>19.010000000000002</v>
      </c>
      <c r="C50">
        <v>0</v>
      </c>
      <c r="D50" s="2">
        <v>1.7</v>
      </c>
      <c r="E50">
        <v>6.6</v>
      </c>
      <c r="F50">
        <v>19</v>
      </c>
      <c r="G50" s="2">
        <f t="shared" si="0"/>
        <v>53.872</v>
      </c>
      <c r="H50">
        <v>0.98128000000000004</v>
      </c>
    </row>
    <row r="51" spans="1:8" x14ac:dyDescent="0.3">
      <c r="A51" t="s">
        <v>54</v>
      </c>
      <c r="B51">
        <v>19.010000000000002</v>
      </c>
      <c r="C51">
        <v>0</v>
      </c>
      <c r="D51" s="2">
        <v>1.7</v>
      </c>
      <c r="E51">
        <v>6.6</v>
      </c>
      <c r="F51">
        <v>20</v>
      </c>
      <c r="G51" s="2">
        <f t="shared" si="0"/>
        <v>63</v>
      </c>
      <c r="H51">
        <v>0.96287</v>
      </c>
    </row>
    <row r="52" spans="1:8" x14ac:dyDescent="0.3">
      <c r="A52" t="s">
        <v>55</v>
      </c>
      <c r="B52">
        <v>19.010000000000002</v>
      </c>
      <c r="C52">
        <v>0</v>
      </c>
      <c r="D52" s="2">
        <v>1.7</v>
      </c>
      <c r="E52">
        <v>6.6</v>
      </c>
      <c r="F52">
        <v>21</v>
      </c>
      <c r="G52" s="2">
        <f t="shared" si="0"/>
        <v>73.087999999999994</v>
      </c>
      <c r="H52">
        <v>0.93959000000000004</v>
      </c>
    </row>
    <row r="53" spans="1:8" x14ac:dyDescent="0.3">
      <c r="A53" t="s">
        <v>56</v>
      </c>
      <c r="B53">
        <v>19.010000000000002</v>
      </c>
      <c r="C53">
        <v>0</v>
      </c>
      <c r="D53" s="2">
        <v>1.7</v>
      </c>
      <c r="E53">
        <v>6.6</v>
      </c>
      <c r="F53">
        <v>22</v>
      </c>
      <c r="G53" s="2">
        <f t="shared" si="0"/>
        <v>84.183999999999997</v>
      </c>
      <c r="H53">
        <v>0.91279999999999994</v>
      </c>
    </row>
    <row r="54" spans="1:8" x14ac:dyDescent="0.3">
      <c r="A54" t="s">
        <v>57</v>
      </c>
      <c r="B54">
        <v>19.010000000000002</v>
      </c>
      <c r="C54">
        <v>0</v>
      </c>
      <c r="D54" s="2">
        <v>1.7</v>
      </c>
      <c r="E54">
        <v>6.6</v>
      </c>
      <c r="F54">
        <v>23</v>
      </c>
      <c r="G54" s="2">
        <f t="shared" si="0"/>
        <v>96.335999999999999</v>
      </c>
      <c r="H54">
        <v>0.88341000000000003</v>
      </c>
    </row>
    <row r="55" spans="1:8" x14ac:dyDescent="0.3">
      <c r="A55" t="s">
        <v>58</v>
      </c>
      <c r="B55">
        <v>19.010000000000002</v>
      </c>
      <c r="C55">
        <v>0</v>
      </c>
      <c r="D55" s="2">
        <v>1.7</v>
      </c>
      <c r="E55">
        <v>6.6</v>
      </c>
      <c r="F55">
        <v>24</v>
      </c>
      <c r="G55" s="2">
        <f t="shared" si="0"/>
        <v>109.592</v>
      </c>
      <c r="H55">
        <v>0.85238000000000003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Park</dc:creator>
  <cp:lastModifiedBy>Patrick Park</cp:lastModifiedBy>
  <dcterms:created xsi:type="dcterms:W3CDTF">2015-06-05T18:17:20Z</dcterms:created>
  <dcterms:modified xsi:type="dcterms:W3CDTF">2025-04-20T22:32:37Z</dcterms:modified>
</cp:coreProperties>
</file>